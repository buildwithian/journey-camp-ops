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Roster &amp; Roles" sheetId="1" r:id="rId1"/>
    <sheet name="2. Dynamic Timetable" sheetId="2" r:id="rId2"/>
    <sheet name="3. Task Checklist" sheetId="3" r:id="rId3"/>
    <sheet name="4. Equipment &amp; Shopping" sheetId="4" r:id="rId4"/>
  </sheets>
  <calcPr calcId="124519" fullCalcOnLoad="1"/>
</workbook>
</file>

<file path=xl/sharedStrings.xml><?xml version="1.0" encoding="utf-8"?>
<sst xmlns="http://schemas.openxmlformats.org/spreadsheetml/2006/main" count="516" uniqueCount="216">
  <si>
    <t>Roles &amp; Volunteer Roster</t>
  </si>
  <si>
    <t>Define the core roles and assign the primary volunteers to them.</t>
  </si>
  <si>
    <t>Role</t>
  </si>
  <si>
    <t>Detailed Description &amp; Default Duties</t>
  </si>
  <si>
    <t>Assigned Leader</t>
  </si>
  <si>
    <t>Contact Number</t>
  </si>
  <si>
    <t>Email</t>
  </si>
  <si>
    <t>Oversight Lead</t>
  </si>
  <si>
    <t>• Ultimate decision-making authority during the camp.
• Handles live issues (emergencies, weather changes).
• Leads high-level reflections and debriefs.
• NOT responsible for physical setup or micromanaging tasks; focuses on the overall flow and safety.</t>
  </si>
  <si>
    <t>Ian Sinclair</t>
  </si>
  <si>
    <t>+27 63 893 9452</t>
  </si>
  <si>
    <t>sinclairian2408@gmail.com</t>
  </si>
  <si>
    <t>Logistics Lead</t>
  </si>
  <si>
    <t>• Manages all physical setup and breakdown.
• Coordinates camp layout, tents/bivvies, fire preparation, and wood.
• Ensures all physical camp equipment is transported, set up, and packed away safely.</t>
  </si>
  <si>
    <t>Neil Harrower</t>
  </si>
  <si>
    <t>+27 71 950 8363</t>
  </si>
  <si>
    <t>neilharrower@gmail.com</t>
  </si>
  <si>
    <t>Session Coordinator</t>
  </si>
  <si>
    <t>• Facilitates the core structured spiritual/emotional sessions (e.g., Malachi discussion, Communion).
• Ensures questions are printed and ready for the Father/Daughter quality time.
• Drives the theological and relational goals of the camp.</t>
  </si>
  <si>
    <t>Marvin Welby-Solomon</t>
  </si>
  <si>
    <t>Administration</t>
  </si>
  <si>
    <t>• Handles all paperwork, nametags, and gate-keeping.
• Checks people in upon arrival.
• Tracks medical and dietary forms, and ensures all RSVPs match the attendees.</t>
  </si>
  <si>
    <t>Paul Barter</t>
  </si>
  <si>
    <t>Activity Facilitator</t>
  </si>
  <si>
    <t>• Brings high energy to run the games and challenges (Clay Latte, Tug of War, Name Games).
• Ensures equipment for games (ropes, clay, etc.) is ready and safe.
• Briefs the group on the rules of the activities.</t>
  </si>
  <si>
    <t>Kingsley Williams</t>
  </si>
  <si>
    <t>+27 83 260 5311</t>
  </si>
  <si>
    <t>Catering / Food Lead</t>
  </si>
  <si>
    <t>• Owns the food schedule. Ensures meals are prepped on time.
• Manages the "shopping list" items (coffee, milk, sugar, braai brood).
• Coordinates the cleanup (washing bowls, dishwashing liquid).</t>
  </si>
  <si>
    <t>Kevin de Wet</t>
  </si>
  <si>
    <t>+27 82 908 2460</t>
  </si>
  <si>
    <t>General Helper 1</t>
  </si>
  <si>
    <t>Assists the Logistics and Catering leads where extra hands are needed.</t>
  </si>
  <si>
    <t>Raldo Kruger</t>
  </si>
  <si>
    <t>+27 84 511 8606</t>
  </si>
  <si>
    <t>General Helper 2</t>
  </si>
  <si>
    <t>Assists the Activity Facilitator and Session Coordinator.</t>
  </si>
  <si>
    <t>Gavin Graham</t>
  </si>
  <si>
    <t>Kickoff Camp Run Sheet (Including Pre-Planning)</t>
  </si>
  <si>
    <t>Change the Camp Start Time below. Pre-camp tasks will calculate backwards based on their days offset. Live tasks will calculate sequentially.</t>
  </si>
  <si>
    <t>Camp Start Time:</t>
  </si>
  <si>
    <t>&lt;-- Edit this cell to shift the entire timetable</t>
  </si>
  <si>
    <t>Day</t>
  </si>
  <si>
    <t>Phase</t>
  </si>
  <si>
    <t>Offset (Days Before)</t>
  </si>
  <si>
    <t>Duration (min)</t>
  </si>
  <si>
    <t>Calculated Start</t>
  </si>
  <si>
    <t>Calculated End</t>
  </si>
  <si>
    <t>Activity / Task</t>
  </si>
  <si>
    <t>Default Role</t>
  </si>
  <si>
    <t>Custom Override</t>
  </si>
  <si>
    <t>Final Leader</t>
  </si>
  <si>
    <t>Pre-Camp</t>
  </si>
  <si>
    <t>Planning</t>
  </si>
  <si>
    <t>Finalize RSVP list and dietary requirements</t>
  </si>
  <si>
    <t>Review medical forms</t>
  </si>
  <si>
    <t>Prep</t>
  </si>
  <si>
    <t>Purchase all shopping list items (Food/Drinks)</t>
  </si>
  <si>
    <t>Print Name Tags and laminate Father/Daughter questions</t>
  </si>
  <si>
    <t>Logistics</t>
  </si>
  <si>
    <t>Confirm venue access codes and final layout</t>
  </si>
  <si>
    <t>Packing</t>
  </si>
  <si>
    <t>Pack all camp equipment, tents, and activities gear</t>
  </si>
  <si>
    <t>Food Prep</t>
  </si>
  <si>
    <t>Pre-pack braai brood and perishables</t>
  </si>
  <si>
    <t>Saturday</t>
  </si>
  <si>
    <t>Travel</t>
  </si>
  <si>
    <t>Drive to camp venue (3 hours before start)</t>
  </si>
  <si>
    <t>Arrival</t>
  </si>
  <si>
    <t>Arrive at camp, name tags, get to know contacts</t>
  </si>
  <si>
    <t>Ice Breaker</t>
  </si>
  <si>
    <t>Get to know each other (Daughters introduce Fathers, name game)</t>
  </si>
  <si>
    <t>Activity</t>
  </si>
  <si>
    <t>Father and daughter activities (Clay Latte) &amp; Dam swim</t>
  </si>
  <si>
    <t>Setup</t>
  </si>
  <si>
    <t>Set-up shelters, Bivvie equipment, prepare fire</t>
  </si>
  <si>
    <t>Dinner Prep</t>
  </si>
  <si>
    <t>Prepare and Cook Supper</t>
  </si>
  <si>
    <t>Dinner</t>
  </si>
  <si>
    <t>Dads and daughters have supper together (quality time / questions)</t>
  </si>
  <si>
    <t>Evening</t>
  </si>
  <si>
    <t>Marshmallows and stokbrood at fire, chat about questions</t>
  </si>
  <si>
    <t>Wind Down</t>
  </si>
  <si>
    <t>Present skits and carving, end of evening debrief</t>
  </si>
  <si>
    <t>Lights Out</t>
  </si>
  <si>
    <t>Bed time</t>
  </si>
  <si>
    <t>Sunday</t>
  </si>
  <si>
    <t>Morning</t>
  </si>
  <si>
    <t>Wake up, dam swim, boil kettles, coffee</t>
  </si>
  <si>
    <t>Session 1</t>
  </si>
  <si>
    <t>Malachi discussion (sand demo) and communion</t>
  </si>
  <si>
    <t>Session 2</t>
  </si>
  <si>
    <t>Father and Daughter Quiet time (reflect on Malachi)</t>
  </si>
  <si>
    <t>Breakfast</t>
  </si>
  <si>
    <t>Session 3</t>
  </si>
  <si>
    <t>Dad's talk and daughters talk split</t>
  </si>
  <si>
    <t>Debrief</t>
  </si>
  <si>
    <t>Reflection on the sleepover, present carving</t>
  </si>
  <si>
    <t>Pack Up</t>
  </si>
  <si>
    <t>Pack up camp</t>
  </si>
  <si>
    <t>Father and Daughter Activity (Tug of war, Swim)</t>
  </si>
  <si>
    <t>Departure</t>
  </si>
  <si>
    <t>Depart from camp</t>
  </si>
  <si>
    <t>General Task Checklist</t>
  </si>
  <si>
    <t>Action items that do not relate to physical equipment.</t>
  </si>
  <si>
    <t>Category</t>
  </si>
  <si>
    <t>Task Description</t>
  </si>
  <si>
    <t>Final Assigned</t>
  </si>
  <si>
    <t>Status</t>
  </si>
  <si>
    <t>Not Started</t>
  </si>
  <si>
    <t>Print Name Tags</t>
  </si>
  <si>
    <t>Safety</t>
  </si>
  <si>
    <t>Activities</t>
  </si>
  <si>
    <t>Laminate Father/Daughter questions</t>
  </si>
  <si>
    <t>Confirm venue booking and access code</t>
  </si>
  <si>
    <t>Food</t>
  </si>
  <si>
    <t>Purchase all shopping list items</t>
  </si>
  <si>
    <t>Pre-pack braai brood</t>
  </si>
  <si>
    <t>Master Equipment &amp; Shopping List</t>
  </si>
  <si>
    <t>All physical items grouped by category.</t>
  </si>
  <si>
    <t>Item</t>
  </si>
  <si>
    <t>Qty</t>
  </si>
  <si>
    <t>Camp Equipment</t>
  </si>
  <si>
    <t>Washing bowl</t>
  </si>
  <si>
    <t>1</t>
  </si>
  <si>
    <t>Pending</t>
  </si>
  <si>
    <t>Dish towel</t>
  </si>
  <si>
    <t>2</t>
  </si>
  <si>
    <t>Dish cloth</t>
  </si>
  <si>
    <t>5</t>
  </si>
  <si>
    <t>Dish scourers</t>
  </si>
  <si>
    <t>Dish washing liquid</t>
  </si>
  <si>
    <t>Chopping board (wooden)</t>
  </si>
  <si>
    <t>4</t>
  </si>
  <si>
    <t>Garbage bags</t>
  </si>
  <si>
    <t>Spade</t>
  </si>
  <si>
    <t>Water Carrier</t>
  </si>
  <si>
    <t>Gas bottles</t>
  </si>
  <si>
    <t>Gas kettle (Large)</t>
  </si>
  <si>
    <t>Gas plate</t>
  </si>
  <si>
    <t>Gas kettle (small)</t>
  </si>
  <si>
    <t>Gas two plater</t>
  </si>
  <si>
    <t>Cutlery set</t>
  </si>
  <si>
    <t>Gas fire starter (rod)</t>
  </si>
  <si>
    <t>First aid</t>
  </si>
  <si>
    <t>Tongs</t>
  </si>
  <si>
    <t>Bodum</t>
  </si>
  <si>
    <t>Braai grid (large)</t>
  </si>
  <si>
    <t>Journey Banner</t>
  </si>
  <si>
    <t>Fire lighter</t>
  </si>
  <si>
    <t>Camping mats</t>
  </si>
  <si>
    <t>6</t>
  </si>
  <si>
    <t>Axe</t>
  </si>
  <si>
    <t>Mallet</t>
  </si>
  <si>
    <t>Prop for earth shaking</t>
  </si>
  <si>
    <t>Dad and daughter questions</t>
  </si>
  <si>
    <t>16</t>
  </si>
  <si>
    <t>Stokbrood Stok</t>
  </si>
  <si>
    <t>43</t>
  </si>
  <si>
    <t>Tug of war rope</t>
  </si>
  <si>
    <t>Communion cups</t>
  </si>
  <si>
    <t>50</t>
  </si>
  <si>
    <t>Claylatt</t>
  </si>
  <si>
    <t>Clay - bag</t>
  </si>
  <si>
    <t>Bivvy's (Shelter)</t>
  </si>
  <si>
    <t>21.5</t>
  </si>
  <si>
    <t>Latte short (Shelter)</t>
  </si>
  <si>
    <t>Latte long (Shelter)</t>
  </si>
  <si>
    <t>Guy ropes (Shelter)</t>
  </si>
  <si>
    <t>86</t>
  </si>
  <si>
    <t>Pegs (Shelter)</t>
  </si>
  <si>
    <t>Shopping List (Food)</t>
  </si>
  <si>
    <t>Coffee Instant</t>
  </si>
  <si>
    <t>2 jars</t>
  </si>
  <si>
    <t>Coffee Ground</t>
  </si>
  <si>
    <t>1 Kg</t>
  </si>
  <si>
    <t>Long life milk</t>
  </si>
  <si>
    <t>12L</t>
  </si>
  <si>
    <t>Sugar</t>
  </si>
  <si>
    <t>1kg</t>
  </si>
  <si>
    <t>Rusks</t>
  </si>
  <si>
    <t>8 boxes</t>
  </si>
  <si>
    <t>Braai Brood (stok brood)</t>
  </si>
  <si>
    <t>6 bags</t>
  </si>
  <si>
    <t>Marshmallows</t>
  </si>
  <si>
    <t>3 x 300g</t>
  </si>
  <si>
    <t>Mieliemeal</t>
  </si>
  <si>
    <t>Rooibos</t>
  </si>
  <si>
    <t>1 box</t>
  </si>
  <si>
    <t>Ceylon</t>
  </si>
  <si>
    <t>Hot chocolate</t>
  </si>
  <si>
    <t>1 x 500g</t>
  </si>
  <si>
    <t>Marie biscuits</t>
  </si>
  <si>
    <t>4 pkts</t>
  </si>
  <si>
    <t>Tomato sauce</t>
  </si>
  <si>
    <t>2 bottles</t>
  </si>
  <si>
    <t>Syrup</t>
  </si>
  <si>
    <t>Communion juice (Grape)</t>
  </si>
  <si>
    <t>2 L</t>
  </si>
  <si>
    <t>Butro Butter</t>
  </si>
  <si>
    <t>500g</t>
  </si>
  <si>
    <t>Communion loaf</t>
  </si>
  <si>
    <t>1 loaf</t>
  </si>
  <si>
    <t>Personal Equipment (Bring)</t>
  </si>
  <si>
    <t>Plates &amp; Bowls</t>
  </si>
  <si>
    <t>1/person</t>
  </si>
  <si>
    <t>Coffee mug &amp; Water bottle</t>
  </si>
  <si>
    <t>Loo paper</t>
  </si>
  <si>
    <t>1 roll</t>
  </si>
  <si>
    <t>Tent, Chairs, Mattress</t>
  </si>
  <si>
    <t>1/family</t>
  </si>
  <si>
    <t>Sleeping bags, Pillows</t>
  </si>
  <si>
    <t>Towels, Jackets, Swim stuff</t>
  </si>
  <si>
    <t>Toiletries, Meds, Suncream</t>
  </si>
  <si>
    <t>Torches/batteries</t>
  </si>
  <si>
    <t>Insect repellent</t>
  </si>
</sst>
</file>

<file path=xl/styles.xml><?xml version="1.0" encoding="utf-8"?>
<styleSheet xmlns="http://schemas.openxmlformats.org/spreadsheetml/2006/main">
  <numFmts count="2">
    <numFmt numFmtId="164" formatCode="yyyy-mm-dd hh:mm AM/PM"/>
    <numFmt numFmtId="165" formatCode="ddd, mmm d - hh:mm AM/PM"/>
  </numFmts>
  <fonts count="7">
    <font>
      <sz val="11"/>
      <color theme="1"/>
      <name val="Calibri"/>
      <family val="2"/>
      <scheme val="minor"/>
    </font>
    <font>
      <b/>
      <sz val="20"/>
      <color rgb="FF2C3E50"/>
      <name val="Calibri"/>
      <family val="2"/>
      <scheme val="minor"/>
    </font>
    <font>
      <b/>
      <sz val="14"/>
      <color rgb="FF34495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C0392B"/>
      <name val="Calibri"/>
      <family val="2"/>
      <scheme val="minor"/>
    </font>
    <font>
      <sz val="11"/>
      <color rgb="FF5D6D7E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980B9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D5D8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right" vertical="center"/>
    </xf>
    <xf numFmtId="164" fontId="4" fillId="4" borderId="1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165" fontId="0" fillId="3" borderId="1" xfId="0" applyNumberForma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 wrapText="1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showGridLines="0" tabSelected="1" workbookViewId="0"/>
  </sheetViews>
  <sheetFormatPr defaultRowHeight="15"/>
  <cols>
    <col min="1" max="1" width="22.7109375" customWidth="1"/>
    <col min="2" max="2" width="70.7109375" customWidth="1"/>
    <col min="3" max="3" width="20.7109375" customWidth="1"/>
    <col min="4" max="4" width="18.7109375" customWidth="1"/>
    <col min="5" max="5" width="25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70" customHeight="1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spans="1:5" ht="70" customHeight="1">
      <c r="A6" s="5" t="s">
        <v>12</v>
      </c>
      <c r="B6" s="5" t="s">
        <v>13</v>
      </c>
      <c r="C6" s="5" t="s">
        <v>14</v>
      </c>
      <c r="D6" s="5" t="s">
        <v>15</v>
      </c>
      <c r="E6" s="5" t="s">
        <v>16</v>
      </c>
    </row>
    <row r="7" spans="1:5" ht="70" customHeight="1">
      <c r="A7" s="4" t="s">
        <v>17</v>
      </c>
      <c r="B7" s="4" t="s">
        <v>18</v>
      </c>
      <c r="C7" s="4" t="s">
        <v>19</v>
      </c>
      <c r="D7" s="4"/>
      <c r="E7" s="4"/>
    </row>
    <row r="8" spans="1:5" ht="70" customHeight="1">
      <c r="A8" s="5" t="s">
        <v>20</v>
      </c>
      <c r="B8" s="5" t="s">
        <v>21</v>
      </c>
      <c r="C8" s="5" t="s">
        <v>22</v>
      </c>
      <c r="D8" s="5"/>
      <c r="E8" s="5"/>
    </row>
    <row r="9" spans="1:5" ht="70" customHeight="1">
      <c r="A9" s="4" t="s">
        <v>23</v>
      </c>
      <c r="B9" s="4" t="s">
        <v>24</v>
      </c>
      <c r="C9" s="4" t="s">
        <v>25</v>
      </c>
      <c r="D9" s="4" t="s">
        <v>26</v>
      </c>
      <c r="E9" s="4"/>
    </row>
    <row r="10" spans="1:5" ht="70" customHeight="1">
      <c r="A10" s="5" t="s">
        <v>27</v>
      </c>
      <c r="B10" s="5" t="s">
        <v>28</v>
      </c>
      <c r="C10" s="5" t="s">
        <v>29</v>
      </c>
      <c r="D10" s="5" t="s">
        <v>30</v>
      </c>
      <c r="E10" s="5"/>
    </row>
    <row r="11" spans="1:5" ht="70" customHeight="1">
      <c r="A11" s="4" t="s">
        <v>31</v>
      </c>
      <c r="B11" s="4" t="s">
        <v>32</v>
      </c>
      <c r="C11" s="4" t="s">
        <v>33</v>
      </c>
      <c r="D11" s="4" t="s">
        <v>34</v>
      </c>
      <c r="E11" s="4"/>
    </row>
    <row r="12" spans="1:5" ht="70" customHeight="1">
      <c r="A12" s="5" t="s">
        <v>35</v>
      </c>
      <c r="B12" s="5" t="s">
        <v>36</v>
      </c>
      <c r="C12" s="5" t="s">
        <v>37</v>
      </c>
      <c r="D12" s="5"/>
      <c r="E1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showGridLines="0" workbookViewId="0"/>
  </sheetViews>
  <sheetFormatPr defaultRowHeight="15"/>
  <cols>
    <col min="1" max="2" width="12.7109375" customWidth="1"/>
    <col min="3" max="3" width="18.7109375" customWidth="1"/>
    <col min="4" max="4" width="15.7109375" customWidth="1"/>
    <col min="5" max="6" width="28.7109375" customWidth="1"/>
    <col min="7" max="7" width="55.7109375" customWidth="1"/>
    <col min="8" max="10" width="22.7109375" customWidth="1"/>
  </cols>
  <sheetData>
    <row r="1" spans="1:10">
      <c r="A1" s="1" t="s">
        <v>38</v>
      </c>
    </row>
    <row r="2" spans="1:10">
      <c r="A2" s="2" t="s">
        <v>39</v>
      </c>
    </row>
    <row r="4" spans="1:10">
      <c r="B4" s="6" t="s">
        <v>40</v>
      </c>
      <c r="D4" s="7">
        <v>46053.625</v>
      </c>
      <c r="E4" s="8" t="s">
        <v>41</v>
      </c>
    </row>
    <row r="7" spans="1:10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49</v>
      </c>
      <c r="I7" s="3" t="s">
        <v>50</v>
      </c>
      <c r="J7" s="3" t="s">
        <v>51</v>
      </c>
    </row>
    <row r="8" spans="1:10" ht="30" customHeight="1">
      <c r="A8" s="4" t="s">
        <v>52</v>
      </c>
      <c r="B8" s="4" t="s">
        <v>53</v>
      </c>
      <c r="C8" s="4">
        <v>-14</v>
      </c>
      <c r="D8" s="4">
        <v>60</v>
      </c>
      <c r="E8" s="9">
        <f>IF(ISNUMBER(C8), $D$4 + C8, $D$4)</f>
        <v>0</v>
      </c>
      <c r="F8" s="9">
        <f>E8 + (D8/1440)</f>
        <v>0</v>
      </c>
      <c r="G8" s="4" t="s">
        <v>54</v>
      </c>
      <c r="H8" s="10" t="s">
        <v>20</v>
      </c>
      <c r="I8" s="4"/>
      <c r="J8" s="4">
        <f>IF(I8="", IFERROR(VLOOKUP(H8, '1. Roster &amp; Roles'!A:C, 3, FALSE), "Unassigned"), I8)</f>
        <v>0</v>
      </c>
    </row>
    <row r="9" spans="1:10" ht="30" customHeight="1">
      <c r="A9" s="5" t="s">
        <v>52</v>
      </c>
      <c r="B9" s="5" t="s">
        <v>53</v>
      </c>
      <c r="C9" s="5">
        <v>-7</v>
      </c>
      <c r="D9" s="5">
        <v>60</v>
      </c>
      <c r="E9" s="11">
        <f>IF(ISNUMBER(C9), $D$4 + C9, F8)</f>
        <v>0</v>
      </c>
      <c r="F9" s="11">
        <f>E9 + (D9/1440)</f>
        <v>0</v>
      </c>
      <c r="G9" s="5" t="s">
        <v>55</v>
      </c>
      <c r="H9" s="10" t="s">
        <v>7</v>
      </c>
      <c r="I9" s="5"/>
      <c r="J9" s="5">
        <f>IF(I9="", IFERROR(VLOOKUP(H9, '1. Roster &amp; Roles'!A:C, 3, FALSE), "Unassigned"), I9)</f>
        <v>0</v>
      </c>
    </row>
    <row r="10" spans="1:10" ht="30" customHeight="1">
      <c r="A10" s="4" t="s">
        <v>52</v>
      </c>
      <c r="B10" s="4" t="s">
        <v>56</v>
      </c>
      <c r="C10" s="4">
        <v>-5</v>
      </c>
      <c r="D10" s="4">
        <v>120</v>
      </c>
      <c r="E10" s="9">
        <f>IF(ISNUMBER(C10), $D$4 + C10, F9)</f>
        <v>0</v>
      </c>
      <c r="F10" s="9">
        <f>E10 + (D10/1440)</f>
        <v>0</v>
      </c>
      <c r="G10" s="4" t="s">
        <v>57</v>
      </c>
      <c r="H10" s="10" t="s">
        <v>27</v>
      </c>
      <c r="I10" s="4"/>
      <c r="J10" s="4">
        <f>IF(I10="", IFERROR(VLOOKUP(H10, '1. Roster &amp; Roles'!A:C, 3, FALSE), "Unassigned"), I10)</f>
        <v>0</v>
      </c>
    </row>
    <row r="11" spans="1:10" ht="30" customHeight="1">
      <c r="A11" s="5" t="s">
        <v>52</v>
      </c>
      <c r="B11" s="5" t="s">
        <v>56</v>
      </c>
      <c r="C11" s="5">
        <v>-3</v>
      </c>
      <c r="D11" s="5">
        <v>60</v>
      </c>
      <c r="E11" s="11">
        <f>IF(ISNUMBER(C11), $D$4 + C11, F10)</f>
        <v>0</v>
      </c>
      <c r="F11" s="11">
        <f>E11 + (D11/1440)</f>
        <v>0</v>
      </c>
      <c r="G11" s="5" t="s">
        <v>58</v>
      </c>
      <c r="H11" s="10" t="s">
        <v>20</v>
      </c>
      <c r="I11" s="5"/>
      <c r="J11" s="5">
        <f>IF(I11="", IFERROR(VLOOKUP(H11, '1. Roster &amp; Roles'!A:C, 3, FALSE), "Unassigned"), I11)</f>
        <v>0</v>
      </c>
    </row>
    <row r="12" spans="1:10" ht="30" customHeight="1">
      <c r="A12" s="4" t="s">
        <v>52</v>
      </c>
      <c r="B12" s="4" t="s">
        <v>59</v>
      </c>
      <c r="C12" s="4">
        <v>-2</v>
      </c>
      <c r="D12" s="4">
        <v>60</v>
      </c>
      <c r="E12" s="9">
        <f>IF(ISNUMBER(C12), $D$4 + C12, F11)</f>
        <v>0</v>
      </c>
      <c r="F12" s="9">
        <f>E12 + (D12/1440)</f>
        <v>0</v>
      </c>
      <c r="G12" s="4" t="s">
        <v>60</v>
      </c>
      <c r="H12" s="10" t="s">
        <v>12</v>
      </c>
      <c r="I12" s="4"/>
      <c r="J12" s="4">
        <f>IF(I12="", IFERROR(VLOOKUP(H12, '1. Roster &amp; Roles'!A:C, 3, FALSE), "Unassigned"), I12)</f>
        <v>0</v>
      </c>
    </row>
    <row r="13" spans="1:10" ht="30" customHeight="1">
      <c r="A13" s="5" t="s">
        <v>52</v>
      </c>
      <c r="B13" s="5" t="s">
        <v>61</v>
      </c>
      <c r="C13" s="5">
        <v>-1</v>
      </c>
      <c r="D13" s="5">
        <v>180</v>
      </c>
      <c r="E13" s="11">
        <f>IF(ISNUMBER(C13), $D$4 + C13, F12)</f>
        <v>0</v>
      </c>
      <c r="F13" s="11">
        <f>E13 + (D13/1440)</f>
        <v>0</v>
      </c>
      <c r="G13" s="5" t="s">
        <v>62</v>
      </c>
      <c r="H13" s="10" t="s">
        <v>12</v>
      </c>
      <c r="I13" s="5"/>
      <c r="J13" s="5">
        <f>IF(I13="", IFERROR(VLOOKUP(H13, '1. Roster &amp; Roles'!A:C, 3, FALSE), "Unassigned"), I13)</f>
        <v>0</v>
      </c>
    </row>
    <row r="14" spans="1:10" ht="30" customHeight="1">
      <c r="A14" s="4" t="s">
        <v>52</v>
      </c>
      <c r="B14" s="4" t="s">
        <v>63</v>
      </c>
      <c r="C14" s="4">
        <v>-1</v>
      </c>
      <c r="D14" s="4">
        <v>60</v>
      </c>
      <c r="E14" s="9">
        <f>IF(ISNUMBER(C14), $D$4 + C14, F13)</f>
        <v>0</v>
      </c>
      <c r="F14" s="9">
        <f>E14 + (D14/1440)</f>
        <v>0</v>
      </c>
      <c r="G14" s="4" t="s">
        <v>64</v>
      </c>
      <c r="H14" s="10" t="s">
        <v>27</v>
      </c>
      <c r="I14" s="4"/>
      <c r="J14" s="4">
        <f>IF(I14="", IFERROR(VLOOKUP(H14, '1. Roster &amp; Roles'!A:C, 3, FALSE), "Unassigned"), I14)</f>
        <v>0</v>
      </c>
    </row>
    <row r="15" spans="1:10" ht="30" customHeight="1">
      <c r="A15" s="5" t="s">
        <v>65</v>
      </c>
      <c r="B15" s="5" t="s">
        <v>66</v>
      </c>
      <c r="C15" s="5">
        <v>-0.125</v>
      </c>
      <c r="D15" s="5">
        <v>90</v>
      </c>
      <c r="E15" s="11">
        <f>IF(ISNUMBER(C15), $D$4 + C15, F14)</f>
        <v>0</v>
      </c>
      <c r="F15" s="11">
        <f>E15 + (D15/1440)</f>
        <v>0</v>
      </c>
      <c r="G15" s="5" t="s">
        <v>67</v>
      </c>
      <c r="H15" s="10" t="s">
        <v>7</v>
      </c>
      <c r="I15" s="5"/>
      <c r="J15" s="5">
        <f>IF(I15="", IFERROR(VLOOKUP(H15, '1. Roster &amp; Roles'!A:C, 3, FALSE), "Unassigned"), I15)</f>
        <v>0</v>
      </c>
    </row>
    <row r="16" spans="1:10" ht="30" customHeight="1">
      <c r="A16" s="4" t="s">
        <v>65</v>
      </c>
      <c r="B16" s="4" t="s">
        <v>68</v>
      </c>
      <c r="C16" s="4">
        <v>0</v>
      </c>
      <c r="D16" s="4">
        <v>30</v>
      </c>
      <c r="E16" s="9">
        <f>IF(ISNUMBER(C16), $D$4 + C16, F15)</f>
        <v>0</v>
      </c>
      <c r="F16" s="9">
        <f>E16 + (D16/1440)</f>
        <v>0</v>
      </c>
      <c r="G16" s="4" t="s">
        <v>69</v>
      </c>
      <c r="H16" s="10" t="s">
        <v>20</v>
      </c>
      <c r="I16" s="4"/>
      <c r="J16" s="4">
        <f>IF(I16="", IFERROR(VLOOKUP(H16, '1. Roster &amp; Roles'!A:C, 3, FALSE), "Unassigned"), I16)</f>
        <v>0</v>
      </c>
    </row>
    <row r="17" spans="1:10" ht="30" customHeight="1">
      <c r="A17" s="5" t="s">
        <v>65</v>
      </c>
      <c r="B17" s="5" t="s">
        <v>70</v>
      </c>
      <c r="C17" s="5"/>
      <c r="D17" s="5">
        <v>30</v>
      </c>
      <c r="E17" s="11">
        <f>IF(ISNUMBER(C17), $D$4 + C17, F16)</f>
        <v>0</v>
      </c>
      <c r="F17" s="11">
        <f>E17 + (D17/1440)</f>
        <v>0</v>
      </c>
      <c r="G17" s="5" t="s">
        <v>71</v>
      </c>
      <c r="H17" s="10" t="s">
        <v>23</v>
      </c>
      <c r="I17" s="5"/>
      <c r="J17" s="5">
        <f>IF(I17="", IFERROR(VLOOKUP(H17, '1. Roster &amp; Roles'!A:C, 3, FALSE), "Unassigned"), I17)</f>
        <v>0</v>
      </c>
    </row>
    <row r="18" spans="1:10" ht="30" customHeight="1">
      <c r="A18" s="4" t="s">
        <v>65</v>
      </c>
      <c r="B18" s="4" t="s">
        <v>72</v>
      </c>
      <c r="C18" s="4"/>
      <c r="D18" s="4">
        <v>90</v>
      </c>
      <c r="E18" s="9">
        <f>IF(ISNUMBER(C18), $D$4 + C18, F17)</f>
        <v>0</v>
      </c>
      <c r="F18" s="9">
        <f>E18 + (D18/1440)</f>
        <v>0</v>
      </c>
      <c r="G18" s="4" t="s">
        <v>73</v>
      </c>
      <c r="H18" s="10" t="s">
        <v>23</v>
      </c>
      <c r="I18" s="4"/>
      <c r="J18" s="4">
        <f>IF(I18="", IFERROR(VLOOKUP(H18, '1. Roster &amp; Roles'!A:C, 3, FALSE), "Unassigned"), I18)</f>
        <v>0</v>
      </c>
    </row>
    <row r="19" spans="1:10" ht="30" customHeight="1">
      <c r="A19" s="5" t="s">
        <v>65</v>
      </c>
      <c r="B19" s="5" t="s">
        <v>74</v>
      </c>
      <c r="C19" s="5"/>
      <c r="D19" s="5">
        <v>90</v>
      </c>
      <c r="E19" s="11">
        <f>IF(ISNUMBER(C19), $D$4 + C19, F18)</f>
        <v>0</v>
      </c>
      <c r="F19" s="11">
        <f>E19 + (D19/1440)</f>
        <v>0</v>
      </c>
      <c r="G19" s="5" t="s">
        <v>75</v>
      </c>
      <c r="H19" s="10" t="s">
        <v>12</v>
      </c>
      <c r="I19" s="5"/>
      <c r="J19" s="5">
        <f>IF(I19="", IFERROR(VLOOKUP(H19, '1. Roster &amp; Roles'!A:C, 3, FALSE), "Unassigned"), I19)</f>
        <v>0</v>
      </c>
    </row>
    <row r="20" spans="1:10" ht="30" customHeight="1">
      <c r="A20" s="4" t="s">
        <v>65</v>
      </c>
      <c r="B20" s="4" t="s">
        <v>76</v>
      </c>
      <c r="C20" s="4"/>
      <c r="D20" s="4">
        <v>60</v>
      </c>
      <c r="E20" s="9">
        <f>IF(ISNUMBER(C20), $D$4 + C20, F19)</f>
        <v>0</v>
      </c>
      <c r="F20" s="9">
        <f>E20 + (D20/1440)</f>
        <v>0</v>
      </c>
      <c r="G20" s="4" t="s">
        <v>77</v>
      </c>
      <c r="H20" s="10" t="s">
        <v>27</v>
      </c>
      <c r="I20" s="4"/>
      <c r="J20" s="4">
        <f>IF(I20="", IFERROR(VLOOKUP(H20, '1. Roster &amp; Roles'!A:C, 3, FALSE), "Unassigned"), I20)</f>
        <v>0</v>
      </c>
    </row>
    <row r="21" spans="1:10" ht="30" customHeight="1">
      <c r="A21" s="5" t="s">
        <v>65</v>
      </c>
      <c r="B21" s="5" t="s">
        <v>78</v>
      </c>
      <c r="C21" s="5"/>
      <c r="D21" s="5">
        <v>30</v>
      </c>
      <c r="E21" s="11">
        <f>IF(ISNUMBER(C21), $D$4 + C21, F20)</f>
        <v>0</v>
      </c>
      <c r="F21" s="11">
        <f>E21 + (D21/1440)</f>
        <v>0</v>
      </c>
      <c r="G21" s="5" t="s">
        <v>79</v>
      </c>
      <c r="H21" s="10" t="s">
        <v>7</v>
      </c>
      <c r="I21" s="5"/>
      <c r="J21" s="5">
        <f>IF(I21="", IFERROR(VLOOKUP(H21, '1. Roster &amp; Roles'!A:C, 3, FALSE), "Unassigned"), I21)</f>
        <v>0</v>
      </c>
    </row>
    <row r="22" spans="1:10" ht="30" customHeight="1">
      <c r="A22" s="4" t="s">
        <v>65</v>
      </c>
      <c r="B22" s="4" t="s">
        <v>80</v>
      </c>
      <c r="C22" s="4"/>
      <c r="D22" s="4">
        <v>60</v>
      </c>
      <c r="E22" s="9">
        <f>IF(ISNUMBER(C22), $D$4 + C22, F21)</f>
        <v>0</v>
      </c>
      <c r="F22" s="9">
        <f>E22 + (D22/1440)</f>
        <v>0</v>
      </c>
      <c r="G22" s="4" t="s">
        <v>81</v>
      </c>
      <c r="H22" s="10" t="s">
        <v>17</v>
      </c>
      <c r="I22" s="4"/>
      <c r="J22" s="4">
        <f>IF(I22="", IFERROR(VLOOKUP(H22, '1. Roster &amp; Roles'!A:C, 3, FALSE), "Unassigned"), I22)</f>
        <v>0</v>
      </c>
    </row>
    <row r="23" spans="1:10" ht="30" customHeight="1">
      <c r="A23" s="5" t="s">
        <v>65</v>
      </c>
      <c r="B23" s="5" t="s">
        <v>82</v>
      </c>
      <c r="C23" s="5"/>
      <c r="D23" s="5">
        <v>60</v>
      </c>
      <c r="E23" s="11">
        <f>IF(ISNUMBER(C23), $D$4 + C23, F22)</f>
        <v>0</v>
      </c>
      <c r="F23" s="11">
        <f>E23 + (D23/1440)</f>
        <v>0</v>
      </c>
      <c r="G23" s="5" t="s">
        <v>83</v>
      </c>
      <c r="H23" s="10" t="s">
        <v>7</v>
      </c>
      <c r="I23" s="5"/>
      <c r="J23" s="5">
        <f>IF(I23="", IFERROR(VLOOKUP(H23, '1. Roster &amp; Roles'!A:C, 3, FALSE), "Unassigned"), I23)</f>
        <v>0</v>
      </c>
    </row>
    <row r="24" spans="1:10" ht="30" customHeight="1">
      <c r="A24" s="4" t="s">
        <v>65</v>
      </c>
      <c r="B24" s="4" t="s">
        <v>84</v>
      </c>
      <c r="C24" s="4"/>
      <c r="D24" s="4">
        <v>0</v>
      </c>
      <c r="E24" s="9">
        <f>IF(ISNUMBER(C24), $D$4 + C24, F23)</f>
        <v>0</v>
      </c>
      <c r="F24" s="9">
        <f>E24 + (D24/1440)</f>
        <v>0</v>
      </c>
      <c r="G24" s="4" t="s">
        <v>85</v>
      </c>
      <c r="H24" s="10" t="s">
        <v>7</v>
      </c>
      <c r="I24" s="4"/>
      <c r="J24" s="4">
        <f>IF(I24="", IFERROR(VLOOKUP(H24, '1. Roster &amp; Roles'!A:C, 3, FALSE), "Unassigned"), I24)</f>
        <v>0</v>
      </c>
    </row>
    <row r="25" spans="1:10" ht="30" customHeight="1">
      <c r="A25" s="5" t="s">
        <v>86</v>
      </c>
      <c r="B25" s="5" t="s">
        <v>87</v>
      </c>
      <c r="C25" s="5"/>
      <c r="D25" s="5">
        <v>45</v>
      </c>
      <c r="E25" s="11">
        <f>IF(ISNUMBER(C25), $D$4 + C25, F24)</f>
        <v>0</v>
      </c>
      <c r="F25" s="11">
        <f>E25 + (D25/1440)</f>
        <v>0</v>
      </c>
      <c r="G25" s="5" t="s">
        <v>88</v>
      </c>
      <c r="H25" s="10" t="s">
        <v>12</v>
      </c>
      <c r="I25" s="5"/>
      <c r="J25" s="5">
        <f>IF(I25="", IFERROR(VLOOKUP(H25, '1. Roster &amp; Roles'!A:C, 3, FALSE), "Unassigned"), I25)</f>
        <v>0</v>
      </c>
    </row>
    <row r="26" spans="1:10" ht="30" customHeight="1">
      <c r="A26" s="4" t="s">
        <v>86</v>
      </c>
      <c r="B26" s="4" t="s">
        <v>89</v>
      </c>
      <c r="C26" s="4"/>
      <c r="D26" s="4">
        <v>90</v>
      </c>
      <c r="E26" s="9">
        <f>IF(ISNUMBER(C26), $D$4 + C26, F25)</f>
        <v>0</v>
      </c>
      <c r="F26" s="9">
        <f>E26 + (D26/1440)</f>
        <v>0</v>
      </c>
      <c r="G26" s="4" t="s">
        <v>90</v>
      </c>
      <c r="H26" s="10" t="s">
        <v>17</v>
      </c>
      <c r="I26" s="4"/>
      <c r="J26" s="4">
        <f>IF(I26="", IFERROR(VLOOKUP(H26, '1. Roster &amp; Roles'!A:C, 3, FALSE), "Unassigned"), I26)</f>
        <v>0</v>
      </c>
    </row>
    <row r="27" spans="1:10" ht="30" customHeight="1">
      <c r="A27" s="5" t="s">
        <v>86</v>
      </c>
      <c r="B27" s="5" t="s">
        <v>91</v>
      </c>
      <c r="C27" s="5"/>
      <c r="D27" s="5">
        <v>15</v>
      </c>
      <c r="E27" s="11">
        <f>IF(ISNUMBER(C27), $D$4 + C27, F26)</f>
        <v>0</v>
      </c>
      <c r="F27" s="11">
        <f>E27 + (D27/1440)</f>
        <v>0</v>
      </c>
      <c r="G27" s="5" t="s">
        <v>92</v>
      </c>
      <c r="H27" s="10" t="s">
        <v>7</v>
      </c>
      <c r="I27" s="5"/>
      <c r="J27" s="5">
        <f>IF(I27="", IFERROR(VLOOKUP(H27, '1. Roster &amp; Roles'!A:C, 3, FALSE), "Unassigned"), I27)</f>
        <v>0</v>
      </c>
    </row>
    <row r="28" spans="1:10" ht="30" customHeight="1">
      <c r="A28" s="4" t="s">
        <v>86</v>
      </c>
      <c r="B28" s="4" t="s">
        <v>93</v>
      </c>
      <c r="C28" s="4"/>
      <c r="D28" s="4">
        <v>60</v>
      </c>
      <c r="E28" s="9">
        <f>IF(ISNUMBER(C28), $D$4 + C28, F27)</f>
        <v>0</v>
      </c>
      <c r="F28" s="9">
        <f>E28 + (D28/1440)</f>
        <v>0</v>
      </c>
      <c r="G28" s="4" t="s">
        <v>93</v>
      </c>
      <c r="H28" s="10" t="s">
        <v>27</v>
      </c>
      <c r="I28" s="4"/>
      <c r="J28" s="4">
        <f>IF(I28="", IFERROR(VLOOKUP(H28, '1. Roster &amp; Roles'!A:C, 3, FALSE), "Unassigned"), I28)</f>
        <v>0</v>
      </c>
    </row>
    <row r="29" spans="1:10" ht="30" customHeight="1">
      <c r="A29" s="5" t="s">
        <v>86</v>
      </c>
      <c r="B29" s="5" t="s">
        <v>94</v>
      </c>
      <c r="C29" s="5"/>
      <c r="D29" s="5">
        <v>60</v>
      </c>
      <c r="E29" s="11">
        <f>IF(ISNUMBER(C29), $D$4 + C29, F28)</f>
        <v>0</v>
      </c>
      <c r="F29" s="11">
        <f>E29 + (D29/1440)</f>
        <v>0</v>
      </c>
      <c r="G29" s="5" t="s">
        <v>95</v>
      </c>
      <c r="H29" s="10" t="s">
        <v>17</v>
      </c>
      <c r="I29" s="5"/>
      <c r="J29" s="5">
        <f>IF(I29="", IFERROR(VLOOKUP(H29, '1. Roster &amp; Roles'!A:C, 3, FALSE), "Unassigned"), I29)</f>
        <v>0</v>
      </c>
    </row>
    <row r="30" spans="1:10" ht="30" customHeight="1">
      <c r="A30" s="4" t="s">
        <v>86</v>
      </c>
      <c r="B30" s="4" t="s">
        <v>96</v>
      </c>
      <c r="C30" s="4"/>
      <c r="D30" s="4">
        <v>15</v>
      </c>
      <c r="E30" s="9">
        <f>IF(ISNUMBER(C30), $D$4 + C30, F29)</f>
        <v>0</v>
      </c>
      <c r="F30" s="9">
        <f>E30 + (D30/1440)</f>
        <v>0</v>
      </c>
      <c r="G30" s="4" t="s">
        <v>97</v>
      </c>
      <c r="H30" s="10" t="s">
        <v>7</v>
      </c>
      <c r="I30" s="4"/>
      <c r="J30" s="4">
        <f>IF(I30="", IFERROR(VLOOKUP(H30, '1. Roster &amp; Roles'!A:C, 3, FALSE), "Unassigned"), I30)</f>
        <v>0</v>
      </c>
    </row>
    <row r="31" spans="1:10" ht="30" customHeight="1">
      <c r="A31" s="5" t="s">
        <v>86</v>
      </c>
      <c r="B31" s="5" t="s">
        <v>98</v>
      </c>
      <c r="C31" s="5"/>
      <c r="D31" s="5">
        <v>60</v>
      </c>
      <c r="E31" s="11">
        <f>IF(ISNUMBER(C31), $D$4 + C31, F30)</f>
        <v>0</v>
      </c>
      <c r="F31" s="11">
        <f>E31 + (D31/1440)</f>
        <v>0</v>
      </c>
      <c r="G31" s="5" t="s">
        <v>99</v>
      </c>
      <c r="H31" s="10" t="s">
        <v>12</v>
      </c>
      <c r="I31" s="5"/>
      <c r="J31" s="5">
        <f>IF(I31="", IFERROR(VLOOKUP(H31, '1. Roster &amp; Roles'!A:C, 3, FALSE), "Unassigned"), I31)</f>
        <v>0</v>
      </c>
    </row>
    <row r="32" spans="1:10" ht="30" customHeight="1">
      <c r="A32" s="4" t="s">
        <v>86</v>
      </c>
      <c r="B32" s="4" t="s">
        <v>72</v>
      </c>
      <c r="C32" s="4"/>
      <c r="D32" s="4">
        <v>45</v>
      </c>
      <c r="E32" s="9">
        <f>IF(ISNUMBER(C32), $D$4 + C32, F31)</f>
        <v>0</v>
      </c>
      <c r="F32" s="9">
        <f>E32 + (D32/1440)</f>
        <v>0</v>
      </c>
      <c r="G32" s="4" t="s">
        <v>100</v>
      </c>
      <c r="H32" s="10" t="s">
        <v>23</v>
      </c>
      <c r="I32" s="4"/>
      <c r="J32" s="4">
        <f>IF(I32="", IFERROR(VLOOKUP(H32, '1. Roster &amp; Roles'!A:C, 3, FALSE), "Unassigned"), I32)</f>
        <v>0</v>
      </c>
    </row>
    <row r="33" spans="1:10" ht="30" customHeight="1">
      <c r="A33" s="5" t="s">
        <v>86</v>
      </c>
      <c r="B33" s="5" t="s">
        <v>101</v>
      </c>
      <c r="C33" s="5"/>
      <c r="D33" s="5">
        <v>0</v>
      </c>
      <c r="E33" s="11">
        <f>IF(ISNUMBER(C33), $D$4 + C33, F32)</f>
        <v>0</v>
      </c>
      <c r="F33" s="11">
        <f>E33 + (D33/1440)</f>
        <v>0</v>
      </c>
      <c r="G33" s="5" t="s">
        <v>102</v>
      </c>
      <c r="H33" s="10" t="s">
        <v>20</v>
      </c>
      <c r="I33" s="5"/>
      <c r="J33" s="5">
        <f>IF(I33="", IFERROR(VLOOKUP(H33, '1. Roster &amp; Roles'!A:C, 3, FALSE), "Unassigned"), I33)</f>
        <v>0</v>
      </c>
    </row>
  </sheetData>
  <dataValidations count="26">
    <dataValidation type="list" allowBlank="1" showInputMessage="1" promptTitle="Override Assignment" prompt="Select a leader to override the default role." sqref="I8">
      <formula1>'1. Roster &amp; Roles'!$C$5:$C$20</formula1>
    </dataValidation>
    <dataValidation type="list" allowBlank="1" showInputMessage="1" promptTitle="Override Assignment" prompt="Select a leader to override the default role." sqref="I9">
      <formula1>'1. Roster &amp; Roles'!$C$5:$C$20</formula1>
    </dataValidation>
    <dataValidation type="list" allowBlank="1" showInputMessage="1" promptTitle="Override Assignment" prompt="Select a leader to override the default role." sqref="I10">
      <formula1>'1. Roster &amp; Roles'!$C$5:$C$20</formula1>
    </dataValidation>
    <dataValidation type="list" allowBlank="1" showInputMessage="1" promptTitle="Override Assignment" prompt="Select a leader to override the default role." sqref="I11">
      <formula1>'1. Roster &amp; Roles'!$C$5:$C$20</formula1>
    </dataValidation>
    <dataValidation type="list" allowBlank="1" showInputMessage="1" promptTitle="Override Assignment" prompt="Select a leader to override the default role." sqref="I12">
      <formula1>'1. Roster &amp; Roles'!$C$5:$C$20</formula1>
    </dataValidation>
    <dataValidation type="list" allowBlank="1" showInputMessage="1" promptTitle="Override Assignment" prompt="Select a leader to override the default role." sqref="I13">
      <formula1>'1. Roster &amp; Roles'!$C$5:$C$20</formula1>
    </dataValidation>
    <dataValidation type="list" allowBlank="1" showInputMessage="1" promptTitle="Override Assignment" prompt="Select a leader to override the default role." sqref="I14">
      <formula1>'1. Roster &amp; Roles'!$C$5:$C$20</formula1>
    </dataValidation>
    <dataValidation type="list" allowBlank="1" showInputMessage="1" promptTitle="Override Assignment" prompt="Select a leader to override the default role." sqref="I15">
      <formula1>'1. Roster &amp; Roles'!$C$5:$C$20</formula1>
    </dataValidation>
    <dataValidation type="list" allowBlank="1" showInputMessage="1" promptTitle="Override Assignment" prompt="Select a leader to override the default role." sqref="I16">
      <formula1>'1. Roster &amp; Roles'!$C$5:$C$20</formula1>
    </dataValidation>
    <dataValidation type="list" allowBlank="1" showInputMessage="1" promptTitle="Override Assignment" prompt="Select a leader to override the default role." sqref="I17">
      <formula1>'1. Roster &amp; Roles'!$C$5:$C$20</formula1>
    </dataValidation>
    <dataValidation type="list" allowBlank="1" showInputMessage="1" promptTitle="Override Assignment" prompt="Select a leader to override the default role." sqref="I18">
      <formula1>'1. Roster &amp; Roles'!$C$5:$C$20</formula1>
    </dataValidation>
    <dataValidation type="list" allowBlank="1" showInputMessage="1" promptTitle="Override Assignment" prompt="Select a leader to override the default role." sqref="I19">
      <formula1>'1. Roster &amp; Roles'!$C$5:$C$20</formula1>
    </dataValidation>
    <dataValidation type="list" allowBlank="1" showInputMessage="1" promptTitle="Override Assignment" prompt="Select a leader to override the default role." sqref="I20">
      <formula1>'1. Roster &amp; Roles'!$C$5:$C$20</formula1>
    </dataValidation>
    <dataValidation type="list" allowBlank="1" showInputMessage="1" promptTitle="Override Assignment" prompt="Select a leader to override the default role." sqref="I21">
      <formula1>'1. Roster &amp; Roles'!$C$5:$C$20</formula1>
    </dataValidation>
    <dataValidation type="list" allowBlank="1" showInputMessage="1" promptTitle="Override Assignment" prompt="Select a leader to override the default role." sqref="I22">
      <formula1>'1. Roster &amp; Roles'!$C$5:$C$20</formula1>
    </dataValidation>
    <dataValidation type="list" allowBlank="1" showInputMessage="1" promptTitle="Override Assignment" prompt="Select a leader to override the default role." sqref="I23">
      <formula1>'1. Roster &amp; Roles'!$C$5:$C$20</formula1>
    </dataValidation>
    <dataValidation type="list" allowBlank="1" showInputMessage="1" promptTitle="Override Assignment" prompt="Select a leader to override the default role." sqref="I24">
      <formula1>'1. Roster &amp; Roles'!$C$5:$C$20</formula1>
    </dataValidation>
    <dataValidation type="list" allowBlank="1" showInputMessage="1" promptTitle="Override Assignment" prompt="Select a leader to override the default role." sqref="I25">
      <formula1>'1. Roster &amp; Roles'!$C$5:$C$20</formula1>
    </dataValidation>
    <dataValidation type="list" allowBlank="1" showInputMessage="1" promptTitle="Override Assignment" prompt="Select a leader to override the default role." sqref="I26">
      <formula1>'1. Roster &amp; Roles'!$C$5:$C$20</formula1>
    </dataValidation>
    <dataValidation type="list" allowBlank="1" showInputMessage="1" promptTitle="Override Assignment" prompt="Select a leader to override the default role." sqref="I27">
      <formula1>'1. Roster &amp; Roles'!$C$5:$C$20</formula1>
    </dataValidation>
    <dataValidation type="list" allowBlank="1" showInputMessage="1" promptTitle="Override Assignment" prompt="Select a leader to override the default role." sqref="I28">
      <formula1>'1. Roster &amp; Roles'!$C$5:$C$20</formula1>
    </dataValidation>
    <dataValidation type="list" allowBlank="1" showInputMessage="1" promptTitle="Override Assignment" prompt="Select a leader to override the default role." sqref="I29">
      <formula1>'1. Roster &amp; Roles'!$C$5:$C$20</formula1>
    </dataValidation>
    <dataValidation type="list" allowBlank="1" showInputMessage="1" promptTitle="Override Assignment" prompt="Select a leader to override the default role." sqref="I30">
      <formula1>'1. Roster &amp; Roles'!$C$5:$C$20</formula1>
    </dataValidation>
    <dataValidation type="list" allowBlank="1" showInputMessage="1" promptTitle="Override Assignment" prompt="Select a leader to override the default role." sqref="I31">
      <formula1>'1. Roster &amp; Roles'!$C$5:$C$20</formula1>
    </dataValidation>
    <dataValidation type="list" allowBlank="1" showInputMessage="1" promptTitle="Override Assignment" prompt="Select a leader to override the default role." sqref="I32">
      <formula1>'1. Roster &amp; Roles'!$C$5:$C$20</formula1>
    </dataValidation>
    <dataValidation type="list" allowBlank="1" showInputMessage="1" promptTitle="Override Assignment" prompt="Select a leader to override the default role." sqref="I33">
      <formula1>'1. Roster &amp; Roles'!$C$5:$C$20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showGridLines="0" workbookViewId="0"/>
  </sheetViews>
  <sheetFormatPr defaultRowHeight="15"/>
  <cols>
    <col min="1" max="1" width="25.7109375" customWidth="1"/>
    <col min="2" max="2" width="50.7109375" customWidth="1"/>
    <col min="3" max="5" width="20.7109375" customWidth="1"/>
    <col min="6" max="6" width="15.7109375" customWidth="1"/>
  </cols>
  <sheetData>
    <row r="1" spans="1:6">
      <c r="A1" s="1" t="s">
        <v>103</v>
      </c>
    </row>
    <row r="2" spans="1:6">
      <c r="A2" s="2" t="s">
        <v>104</v>
      </c>
    </row>
    <row r="5" spans="1:6">
      <c r="A5" s="3" t="s">
        <v>105</v>
      </c>
      <c r="B5" s="3" t="s">
        <v>106</v>
      </c>
      <c r="C5" s="3" t="s">
        <v>49</v>
      </c>
      <c r="D5" s="3" t="s">
        <v>50</v>
      </c>
      <c r="E5" s="3" t="s">
        <v>107</v>
      </c>
      <c r="F5" s="3" t="s">
        <v>108</v>
      </c>
    </row>
    <row r="6" spans="1:6" ht="25" customHeight="1">
      <c r="A6" s="4" t="s">
        <v>20</v>
      </c>
      <c r="B6" s="4" t="s">
        <v>54</v>
      </c>
      <c r="C6" s="10" t="s">
        <v>20</v>
      </c>
      <c r="D6" s="4"/>
      <c r="E6" s="4">
        <f>IF(D6="", IFERROR(VLOOKUP(C6, '1. Roster &amp; Roles'!A:C, 3, FALSE), "Unassigned"), D6)</f>
        <v>0</v>
      </c>
      <c r="F6" s="4" t="s">
        <v>109</v>
      </c>
    </row>
    <row r="7" spans="1:6" ht="25" customHeight="1">
      <c r="A7" s="5" t="s">
        <v>20</v>
      </c>
      <c r="B7" s="5" t="s">
        <v>110</v>
      </c>
      <c r="C7" s="10" t="s">
        <v>20</v>
      </c>
      <c r="D7" s="5"/>
      <c r="E7" s="5">
        <f>IF(D7="", IFERROR(VLOOKUP(C7, '1. Roster &amp; Roles'!A:C, 3, FALSE), "Unassigned"), D7)</f>
        <v>0</v>
      </c>
      <c r="F7" s="5" t="s">
        <v>109</v>
      </c>
    </row>
    <row r="8" spans="1:6" ht="25" customHeight="1">
      <c r="A8" s="4" t="s">
        <v>111</v>
      </c>
      <c r="B8" s="4" t="s">
        <v>55</v>
      </c>
      <c r="C8" s="10" t="s">
        <v>7</v>
      </c>
      <c r="D8" s="4"/>
      <c r="E8" s="4">
        <f>IF(D8="", IFERROR(VLOOKUP(C8, '1. Roster &amp; Roles'!A:C, 3, FALSE), "Unassigned"), D8)</f>
        <v>0</v>
      </c>
      <c r="F8" s="4" t="s">
        <v>109</v>
      </c>
    </row>
    <row r="9" spans="1:6" ht="25" customHeight="1">
      <c r="A9" s="5" t="s">
        <v>112</v>
      </c>
      <c r="B9" s="5" t="s">
        <v>113</v>
      </c>
      <c r="C9" s="10" t="s">
        <v>17</v>
      </c>
      <c r="D9" s="5"/>
      <c r="E9" s="5">
        <f>IF(D9="", IFERROR(VLOOKUP(C9, '1. Roster &amp; Roles'!A:C, 3, FALSE), "Unassigned"), D9)</f>
        <v>0</v>
      </c>
      <c r="F9" s="5" t="s">
        <v>109</v>
      </c>
    </row>
    <row r="10" spans="1:6" ht="25" customHeight="1">
      <c r="A10" s="4" t="s">
        <v>59</v>
      </c>
      <c r="B10" s="4" t="s">
        <v>114</v>
      </c>
      <c r="C10" s="10" t="s">
        <v>12</v>
      </c>
      <c r="D10" s="4"/>
      <c r="E10" s="4">
        <f>IF(D10="", IFERROR(VLOOKUP(C10, '1. Roster &amp; Roles'!A:C, 3, FALSE), "Unassigned"), D10)</f>
        <v>0</v>
      </c>
      <c r="F10" s="4" t="s">
        <v>109</v>
      </c>
    </row>
    <row r="11" spans="1:6" ht="25" customHeight="1">
      <c r="A11" s="5" t="s">
        <v>115</v>
      </c>
      <c r="B11" s="5" t="s">
        <v>116</v>
      </c>
      <c r="C11" s="10" t="s">
        <v>27</v>
      </c>
      <c r="D11" s="5"/>
      <c r="E11" s="5">
        <f>IF(D11="", IFERROR(VLOOKUP(C11, '1. Roster &amp; Roles'!A:C, 3, FALSE), "Unassigned"), D11)</f>
        <v>0</v>
      </c>
      <c r="F11" s="5" t="s">
        <v>109</v>
      </c>
    </row>
    <row r="12" spans="1:6" ht="25" customHeight="1">
      <c r="A12" s="4" t="s">
        <v>115</v>
      </c>
      <c r="B12" s="4" t="s">
        <v>117</v>
      </c>
      <c r="C12" s="10" t="s">
        <v>27</v>
      </c>
      <c r="D12" s="4"/>
      <c r="E12" s="4">
        <f>IF(D12="", IFERROR(VLOOKUP(C12, '1. Roster &amp; Roles'!A:C, 3, FALSE), "Unassigned"), D12)</f>
        <v>0</v>
      </c>
      <c r="F12" s="4" t="s">
        <v>109</v>
      </c>
    </row>
  </sheetData>
  <dataValidations count="14">
    <dataValidation type="list" allowBlank="1" showInputMessage="1" sqref="D6">
      <formula1>'1. Roster &amp; Roles'!$C$5:$C$20</formula1>
    </dataValidation>
    <dataValidation type="list" allowBlank="1" showInputMessage="1" showErrorMessage="1" sqref="F6">
      <formula1>"Not Started,In Progress,Done"</formula1>
    </dataValidation>
    <dataValidation type="list" allowBlank="1" showInputMessage="1" sqref="D7">
      <formula1>'1. Roster &amp; Roles'!$C$5:$C$20</formula1>
    </dataValidation>
    <dataValidation type="list" allowBlank="1" showInputMessage="1" showErrorMessage="1" sqref="F7">
      <formula1>"Not Started,In Progress,Done"</formula1>
    </dataValidation>
    <dataValidation type="list" allowBlank="1" showInputMessage="1" sqref="D8">
      <formula1>'1. Roster &amp; Roles'!$C$5:$C$20</formula1>
    </dataValidation>
    <dataValidation type="list" allowBlank="1" showInputMessage="1" showErrorMessage="1" sqref="F8">
      <formula1>"Not Started,In Progress,Done"</formula1>
    </dataValidation>
    <dataValidation type="list" allowBlank="1" showInputMessage="1" sqref="D9">
      <formula1>'1. Roster &amp; Roles'!$C$5:$C$20</formula1>
    </dataValidation>
    <dataValidation type="list" allowBlank="1" showInputMessage="1" showErrorMessage="1" sqref="F9">
      <formula1>"Not Started,In Progress,Done"</formula1>
    </dataValidation>
    <dataValidation type="list" allowBlank="1" showInputMessage="1" sqref="D10">
      <formula1>'1. Roster &amp; Roles'!$C$5:$C$20</formula1>
    </dataValidation>
    <dataValidation type="list" allowBlank="1" showInputMessage="1" showErrorMessage="1" sqref="F10">
      <formula1>"Not Started,In Progress,Done"</formula1>
    </dataValidation>
    <dataValidation type="list" allowBlank="1" showInputMessage="1" sqref="D11">
      <formula1>'1. Roster &amp; Roles'!$C$5:$C$20</formula1>
    </dataValidation>
    <dataValidation type="list" allowBlank="1" showInputMessage="1" showErrorMessage="1" sqref="F11">
      <formula1>"Not Started,In Progress,Done"</formula1>
    </dataValidation>
    <dataValidation type="list" allowBlank="1" showInputMessage="1" sqref="D12">
      <formula1>'1. Roster &amp; Roles'!$C$5:$C$20</formula1>
    </dataValidation>
    <dataValidation type="list" allowBlank="1" showInputMessage="1" showErrorMessage="1" sqref="F12">
      <formula1>"Not Started,In Progress,Done"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8"/>
  <sheetViews>
    <sheetView showGridLines="0"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6" width="20.7109375" customWidth="1"/>
    <col min="7" max="7" width="15.7109375" customWidth="1"/>
  </cols>
  <sheetData>
    <row r="1" spans="1:7">
      <c r="A1" s="1" t="s">
        <v>118</v>
      </c>
    </row>
    <row r="2" spans="1:7">
      <c r="A2" s="2" t="s">
        <v>119</v>
      </c>
    </row>
    <row r="5" spans="1:7">
      <c r="A5" s="3" t="s">
        <v>105</v>
      </c>
      <c r="B5" s="3" t="s">
        <v>120</v>
      </c>
      <c r="C5" s="3" t="s">
        <v>121</v>
      </c>
      <c r="D5" s="3" t="s">
        <v>49</v>
      </c>
      <c r="E5" s="3" t="s">
        <v>50</v>
      </c>
      <c r="F5" s="3" t="s">
        <v>107</v>
      </c>
      <c r="G5" s="3" t="s">
        <v>108</v>
      </c>
    </row>
    <row r="6" spans="1:7" ht="22" customHeight="1">
      <c r="A6" s="4" t="s">
        <v>122</v>
      </c>
      <c r="B6" s="4" t="s">
        <v>123</v>
      </c>
      <c r="C6" s="4" t="s">
        <v>124</v>
      </c>
      <c r="D6" s="10" t="s">
        <v>12</v>
      </c>
      <c r="E6" s="4"/>
      <c r="F6" s="4">
        <f>IF(E6="", IFERROR(VLOOKUP(D6, '1. Roster &amp; Roles'!A:C, 3, FALSE), "Unassigned"), E6)</f>
        <v>0</v>
      </c>
      <c r="G6" s="4" t="s">
        <v>125</v>
      </c>
    </row>
    <row r="7" spans="1:7" ht="22" customHeight="1">
      <c r="A7" s="5" t="s">
        <v>122</v>
      </c>
      <c r="B7" s="5" t="s">
        <v>126</v>
      </c>
      <c r="C7" s="5" t="s">
        <v>127</v>
      </c>
      <c r="D7" s="10" t="s">
        <v>12</v>
      </c>
      <c r="E7" s="5"/>
      <c r="F7" s="5">
        <f>IF(E7="", IFERROR(VLOOKUP(D7, '1. Roster &amp; Roles'!A:C, 3, FALSE), "Unassigned"), E7)</f>
        <v>0</v>
      </c>
      <c r="G7" s="5" t="s">
        <v>125</v>
      </c>
    </row>
    <row r="8" spans="1:7" ht="22" customHeight="1">
      <c r="A8" s="4" t="s">
        <v>122</v>
      </c>
      <c r="B8" s="4" t="s">
        <v>128</v>
      </c>
      <c r="C8" s="4" t="s">
        <v>129</v>
      </c>
      <c r="D8" s="10" t="s">
        <v>12</v>
      </c>
      <c r="E8" s="4"/>
      <c r="F8" s="4">
        <f>IF(E8="", IFERROR(VLOOKUP(D8, '1. Roster &amp; Roles'!A:C, 3, FALSE), "Unassigned"), E8)</f>
        <v>0</v>
      </c>
      <c r="G8" s="4" t="s">
        <v>125</v>
      </c>
    </row>
    <row r="9" spans="1:7" ht="22" customHeight="1">
      <c r="A9" s="5" t="s">
        <v>122</v>
      </c>
      <c r="B9" s="5" t="s">
        <v>130</v>
      </c>
      <c r="C9" s="5" t="s">
        <v>129</v>
      </c>
      <c r="D9" s="10" t="s">
        <v>12</v>
      </c>
      <c r="E9" s="5"/>
      <c r="F9" s="5">
        <f>IF(E9="", IFERROR(VLOOKUP(D9, '1. Roster &amp; Roles'!A:C, 3, FALSE), "Unassigned"), E9)</f>
        <v>0</v>
      </c>
      <c r="G9" s="5" t="s">
        <v>125</v>
      </c>
    </row>
    <row r="10" spans="1:7" ht="22" customHeight="1">
      <c r="A10" s="4" t="s">
        <v>122</v>
      </c>
      <c r="B10" s="4" t="s">
        <v>131</v>
      </c>
      <c r="C10" s="4" t="s">
        <v>124</v>
      </c>
      <c r="D10" s="10" t="s">
        <v>12</v>
      </c>
      <c r="E10" s="4"/>
      <c r="F10" s="4">
        <f>IF(E10="", IFERROR(VLOOKUP(D10, '1. Roster &amp; Roles'!A:C, 3, FALSE), "Unassigned"), E10)</f>
        <v>0</v>
      </c>
      <c r="G10" s="4" t="s">
        <v>125</v>
      </c>
    </row>
    <row r="11" spans="1:7" ht="22" customHeight="1">
      <c r="A11" s="5" t="s">
        <v>122</v>
      </c>
      <c r="B11" s="5" t="s">
        <v>132</v>
      </c>
      <c r="C11" s="5" t="s">
        <v>133</v>
      </c>
      <c r="D11" s="10" t="s">
        <v>27</v>
      </c>
      <c r="E11" s="5"/>
      <c r="F11" s="5">
        <f>IF(E11="", IFERROR(VLOOKUP(D11, '1. Roster &amp; Roles'!A:C, 3, FALSE), "Unassigned"), E11)</f>
        <v>0</v>
      </c>
      <c r="G11" s="5" t="s">
        <v>125</v>
      </c>
    </row>
    <row r="12" spans="1:7" ht="22" customHeight="1">
      <c r="A12" s="4" t="s">
        <v>122</v>
      </c>
      <c r="B12" s="4" t="s">
        <v>134</v>
      </c>
      <c r="C12" s="4" t="s">
        <v>129</v>
      </c>
      <c r="D12" s="10" t="s">
        <v>12</v>
      </c>
      <c r="E12" s="4"/>
      <c r="F12" s="4">
        <f>IF(E12="", IFERROR(VLOOKUP(D12, '1. Roster &amp; Roles'!A:C, 3, FALSE), "Unassigned"), E12)</f>
        <v>0</v>
      </c>
      <c r="G12" s="4" t="s">
        <v>125</v>
      </c>
    </row>
    <row r="13" spans="1:7" ht="22" customHeight="1">
      <c r="A13" s="5" t="s">
        <v>122</v>
      </c>
      <c r="B13" s="5" t="s">
        <v>135</v>
      </c>
      <c r="C13" s="5" t="s">
        <v>124</v>
      </c>
      <c r="D13" s="10" t="s">
        <v>12</v>
      </c>
      <c r="E13" s="5"/>
      <c r="F13" s="5">
        <f>IF(E13="", IFERROR(VLOOKUP(D13, '1. Roster &amp; Roles'!A:C, 3, FALSE), "Unassigned"), E13)</f>
        <v>0</v>
      </c>
      <c r="G13" s="5" t="s">
        <v>125</v>
      </c>
    </row>
    <row r="14" spans="1:7" ht="22" customHeight="1">
      <c r="A14" s="4" t="s">
        <v>122</v>
      </c>
      <c r="B14" s="4" t="s">
        <v>136</v>
      </c>
      <c r="C14" s="4" t="s">
        <v>124</v>
      </c>
      <c r="D14" s="10" t="s">
        <v>12</v>
      </c>
      <c r="E14" s="4"/>
      <c r="F14" s="4">
        <f>IF(E14="", IFERROR(VLOOKUP(D14, '1. Roster &amp; Roles'!A:C, 3, FALSE), "Unassigned"), E14)</f>
        <v>0</v>
      </c>
      <c r="G14" s="4" t="s">
        <v>125</v>
      </c>
    </row>
    <row r="15" spans="1:7" ht="22" customHeight="1">
      <c r="A15" s="5" t="s">
        <v>122</v>
      </c>
      <c r="B15" s="5" t="s">
        <v>137</v>
      </c>
      <c r="C15" s="5" t="s">
        <v>127</v>
      </c>
      <c r="D15" s="10" t="s">
        <v>12</v>
      </c>
      <c r="E15" s="5"/>
      <c r="F15" s="5">
        <f>IF(E15="", IFERROR(VLOOKUP(D15, '1. Roster &amp; Roles'!A:C, 3, FALSE), "Unassigned"), E15)</f>
        <v>0</v>
      </c>
      <c r="G15" s="5" t="s">
        <v>125</v>
      </c>
    </row>
    <row r="16" spans="1:7" ht="22" customHeight="1">
      <c r="A16" s="4" t="s">
        <v>122</v>
      </c>
      <c r="B16" s="4" t="s">
        <v>138</v>
      </c>
      <c r="C16" s="4" t="s">
        <v>124</v>
      </c>
      <c r="D16" s="10" t="s">
        <v>12</v>
      </c>
      <c r="E16" s="4"/>
      <c r="F16" s="4">
        <f>IF(E16="", IFERROR(VLOOKUP(D16, '1. Roster &amp; Roles'!A:C, 3, FALSE), "Unassigned"), E16)</f>
        <v>0</v>
      </c>
      <c r="G16" s="4" t="s">
        <v>125</v>
      </c>
    </row>
    <row r="17" spans="1:7" ht="22" customHeight="1">
      <c r="A17" s="5" t="s">
        <v>122</v>
      </c>
      <c r="B17" s="5" t="s">
        <v>139</v>
      </c>
      <c r="C17" s="5" t="s">
        <v>127</v>
      </c>
      <c r="D17" s="10" t="s">
        <v>12</v>
      </c>
      <c r="E17" s="5"/>
      <c r="F17" s="5">
        <f>IF(E17="", IFERROR(VLOOKUP(D17, '1. Roster &amp; Roles'!A:C, 3, FALSE), "Unassigned"), E17)</f>
        <v>0</v>
      </c>
      <c r="G17" s="5" t="s">
        <v>125</v>
      </c>
    </row>
    <row r="18" spans="1:7" ht="22" customHeight="1">
      <c r="A18" s="4" t="s">
        <v>122</v>
      </c>
      <c r="B18" s="4" t="s">
        <v>140</v>
      </c>
      <c r="C18" s="4" t="s">
        <v>124</v>
      </c>
      <c r="D18" s="10" t="s">
        <v>12</v>
      </c>
      <c r="E18" s="4"/>
      <c r="F18" s="4">
        <f>IF(E18="", IFERROR(VLOOKUP(D18, '1. Roster &amp; Roles'!A:C, 3, FALSE), "Unassigned"), E18)</f>
        <v>0</v>
      </c>
      <c r="G18" s="4" t="s">
        <v>125</v>
      </c>
    </row>
    <row r="19" spans="1:7" ht="22" customHeight="1">
      <c r="A19" s="5" t="s">
        <v>122</v>
      </c>
      <c r="B19" s="5" t="s">
        <v>141</v>
      </c>
      <c r="C19" s="5" t="s">
        <v>124</v>
      </c>
      <c r="D19" s="10" t="s">
        <v>12</v>
      </c>
      <c r="E19" s="5"/>
      <c r="F19" s="5">
        <f>IF(E19="", IFERROR(VLOOKUP(D19, '1. Roster &amp; Roles'!A:C, 3, FALSE), "Unassigned"), E19)</f>
        <v>0</v>
      </c>
      <c r="G19" s="5" t="s">
        <v>125</v>
      </c>
    </row>
    <row r="20" spans="1:7" ht="22" customHeight="1">
      <c r="A20" s="4" t="s">
        <v>122</v>
      </c>
      <c r="B20" s="4" t="s">
        <v>142</v>
      </c>
      <c r="C20" s="4" t="s">
        <v>124</v>
      </c>
      <c r="D20" s="10" t="s">
        <v>27</v>
      </c>
      <c r="E20" s="4"/>
      <c r="F20" s="4">
        <f>IF(E20="", IFERROR(VLOOKUP(D20, '1. Roster &amp; Roles'!A:C, 3, FALSE), "Unassigned"), E20)</f>
        <v>0</v>
      </c>
      <c r="G20" s="4" t="s">
        <v>125</v>
      </c>
    </row>
    <row r="21" spans="1:7" ht="22" customHeight="1">
      <c r="A21" s="5" t="s">
        <v>122</v>
      </c>
      <c r="B21" s="5" t="s">
        <v>143</v>
      </c>
      <c r="C21" s="5" t="s">
        <v>124</v>
      </c>
      <c r="D21" s="10" t="s">
        <v>12</v>
      </c>
      <c r="E21" s="5"/>
      <c r="F21" s="5">
        <f>IF(E21="", IFERROR(VLOOKUP(D21, '1. Roster &amp; Roles'!A:C, 3, FALSE), "Unassigned"), E21)</f>
        <v>0</v>
      </c>
      <c r="G21" s="5" t="s">
        <v>125</v>
      </c>
    </row>
    <row r="22" spans="1:7" ht="22" customHeight="1">
      <c r="A22" s="4" t="s">
        <v>122</v>
      </c>
      <c r="B22" s="4" t="s">
        <v>144</v>
      </c>
      <c r="C22" s="4" t="s">
        <v>124</v>
      </c>
      <c r="D22" s="10" t="s">
        <v>7</v>
      </c>
      <c r="E22" s="4"/>
      <c r="F22" s="4">
        <f>IF(E22="", IFERROR(VLOOKUP(D22, '1. Roster &amp; Roles'!A:C, 3, FALSE), "Unassigned"), E22)</f>
        <v>0</v>
      </c>
      <c r="G22" s="4" t="s">
        <v>125</v>
      </c>
    </row>
    <row r="23" spans="1:7" ht="22" customHeight="1">
      <c r="A23" s="5" t="s">
        <v>122</v>
      </c>
      <c r="B23" s="5" t="s">
        <v>145</v>
      </c>
      <c r="C23" s="5" t="s">
        <v>133</v>
      </c>
      <c r="D23" s="10" t="s">
        <v>27</v>
      </c>
      <c r="E23" s="5"/>
      <c r="F23" s="5">
        <f>IF(E23="", IFERROR(VLOOKUP(D23, '1. Roster &amp; Roles'!A:C, 3, FALSE), "Unassigned"), E23)</f>
        <v>0</v>
      </c>
      <c r="G23" s="5" t="s">
        <v>125</v>
      </c>
    </row>
    <row r="24" spans="1:7" ht="22" customHeight="1">
      <c r="A24" s="4" t="s">
        <v>122</v>
      </c>
      <c r="B24" s="4" t="s">
        <v>146</v>
      </c>
      <c r="C24" s="4" t="s">
        <v>124</v>
      </c>
      <c r="D24" s="10" t="s">
        <v>27</v>
      </c>
      <c r="E24" s="4"/>
      <c r="F24" s="4">
        <f>IF(E24="", IFERROR(VLOOKUP(D24, '1. Roster &amp; Roles'!A:C, 3, FALSE), "Unassigned"), E24)</f>
        <v>0</v>
      </c>
      <c r="G24" s="4" t="s">
        <v>125</v>
      </c>
    </row>
    <row r="25" spans="1:7" ht="22" customHeight="1">
      <c r="A25" s="5" t="s">
        <v>122</v>
      </c>
      <c r="B25" s="5" t="s">
        <v>147</v>
      </c>
      <c r="C25" s="5" t="s">
        <v>124</v>
      </c>
      <c r="D25" s="10" t="s">
        <v>12</v>
      </c>
      <c r="E25" s="5"/>
      <c r="F25" s="5">
        <f>IF(E25="", IFERROR(VLOOKUP(D25, '1. Roster &amp; Roles'!A:C, 3, FALSE), "Unassigned"), E25)</f>
        <v>0</v>
      </c>
      <c r="G25" s="5" t="s">
        <v>125</v>
      </c>
    </row>
    <row r="26" spans="1:7" ht="22" customHeight="1">
      <c r="A26" s="4" t="s">
        <v>122</v>
      </c>
      <c r="B26" s="4" t="s">
        <v>148</v>
      </c>
      <c r="C26" s="4" t="s">
        <v>124</v>
      </c>
      <c r="D26" s="10" t="s">
        <v>12</v>
      </c>
      <c r="E26" s="4"/>
      <c r="F26" s="4">
        <f>IF(E26="", IFERROR(VLOOKUP(D26, '1. Roster &amp; Roles'!A:C, 3, FALSE), "Unassigned"), E26)</f>
        <v>0</v>
      </c>
      <c r="G26" s="4" t="s">
        <v>125</v>
      </c>
    </row>
    <row r="27" spans="1:7" ht="22" customHeight="1">
      <c r="A27" s="5" t="s">
        <v>122</v>
      </c>
      <c r="B27" s="5" t="s">
        <v>149</v>
      </c>
      <c r="C27" s="5" t="s">
        <v>124</v>
      </c>
      <c r="D27" s="10" t="s">
        <v>12</v>
      </c>
      <c r="E27" s="5"/>
      <c r="F27" s="5">
        <f>IF(E27="", IFERROR(VLOOKUP(D27, '1. Roster &amp; Roles'!A:C, 3, FALSE), "Unassigned"), E27)</f>
        <v>0</v>
      </c>
      <c r="G27" s="5" t="s">
        <v>125</v>
      </c>
    </row>
    <row r="28" spans="1:7" ht="22" customHeight="1">
      <c r="A28" s="4" t="s">
        <v>122</v>
      </c>
      <c r="B28" s="4" t="s">
        <v>150</v>
      </c>
      <c r="C28" s="4" t="s">
        <v>151</v>
      </c>
      <c r="D28" s="10" t="s">
        <v>12</v>
      </c>
      <c r="E28" s="4"/>
      <c r="F28" s="4">
        <f>IF(E28="", IFERROR(VLOOKUP(D28, '1. Roster &amp; Roles'!A:C, 3, FALSE), "Unassigned"), E28)</f>
        <v>0</v>
      </c>
      <c r="G28" s="4" t="s">
        <v>125</v>
      </c>
    </row>
    <row r="29" spans="1:7" ht="22" customHeight="1">
      <c r="A29" s="5" t="s">
        <v>122</v>
      </c>
      <c r="B29" s="5" t="s">
        <v>152</v>
      </c>
      <c r="C29" s="5" t="s">
        <v>124</v>
      </c>
      <c r="D29" s="10" t="s">
        <v>12</v>
      </c>
      <c r="E29" s="5"/>
      <c r="F29" s="5">
        <f>IF(E29="", IFERROR(VLOOKUP(D29, '1. Roster &amp; Roles'!A:C, 3, FALSE), "Unassigned"), E29)</f>
        <v>0</v>
      </c>
      <c r="G29" s="5" t="s">
        <v>125</v>
      </c>
    </row>
    <row r="30" spans="1:7" ht="22" customHeight="1">
      <c r="A30" s="4" t="s">
        <v>122</v>
      </c>
      <c r="B30" s="4" t="s">
        <v>153</v>
      </c>
      <c r="C30" s="4" t="s">
        <v>124</v>
      </c>
      <c r="D30" s="10" t="s">
        <v>12</v>
      </c>
      <c r="E30" s="4"/>
      <c r="F30" s="4">
        <f>IF(E30="", IFERROR(VLOOKUP(D30, '1. Roster &amp; Roles'!A:C, 3, FALSE), "Unassigned"), E30)</f>
        <v>0</v>
      </c>
      <c r="G30" s="4" t="s">
        <v>125</v>
      </c>
    </row>
    <row r="31" spans="1:7" ht="22" customHeight="1">
      <c r="A31" s="5" t="s">
        <v>122</v>
      </c>
      <c r="B31" s="5" t="s">
        <v>154</v>
      </c>
      <c r="C31" s="5" t="s">
        <v>124</v>
      </c>
      <c r="D31" s="10" t="s">
        <v>17</v>
      </c>
      <c r="E31" s="5"/>
      <c r="F31" s="5">
        <f>IF(E31="", IFERROR(VLOOKUP(D31, '1. Roster &amp; Roles'!A:C, 3, FALSE), "Unassigned"), E31)</f>
        <v>0</v>
      </c>
      <c r="G31" s="5" t="s">
        <v>125</v>
      </c>
    </row>
    <row r="32" spans="1:7" ht="22" customHeight="1">
      <c r="A32" s="4" t="s">
        <v>112</v>
      </c>
      <c r="B32" s="4" t="s">
        <v>155</v>
      </c>
      <c r="C32" s="4" t="s">
        <v>156</v>
      </c>
      <c r="D32" s="10" t="s">
        <v>17</v>
      </c>
      <c r="E32" s="4"/>
      <c r="F32" s="4">
        <f>IF(E32="", IFERROR(VLOOKUP(D32, '1. Roster &amp; Roles'!A:C, 3, FALSE), "Unassigned"), E32)</f>
        <v>0</v>
      </c>
      <c r="G32" s="4" t="s">
        <v>125</v>
      </c>
    </row>
    <row r="33" spans="1:7" ht="22" customHeight="1">
      <c r="A33" s="5" t="s">
        <v>112</v>
      </c>
      <c r="B33" s="5" t="s">
        <v>157</v>
      </c>
      <c r="C33" s="5" t="s">
        <v>158</v>
      </c>
      <c r="D33" s="10" t="s">
        <v>12</v>
      </c>
      <c r="E33" s="5"/>
      <c r="F33" s="5">
        <f>IF(E33="", IFERROR(VLOOKUP(D33, '1. Roster &amp; Roles'!A:C, 3, FALSE), "Unassigned"), E33)</f>
        <v>0</v>
      </c>
      <c r="G33" s="5" t="s">
        <v>125</v>
      </c>
    </row>
    <row r="34" spans="1:7" ht="22" customHeight="1">
      <c r="A34" s="4" t="s">
        <v>112</v>
      </c>
      <c r="B34" s="4" t="s">
        <v>159</v>
      </c>
      <c r="C34" s="4" t="s">
        <v>124</v>
      </c>
      <c r="D34" s="10" t="s">
        <v>23</v>
      </c>
      <c r="E34" s="4"/>
      <c r="F34" s="4">
        <f>IF(E34="", IFERROR(VLOOKUP(D34, '1. Roster &amp; Roles'!A:C, 3, FALSE), "Unassigned"), E34)</f>
        <v>0</v>
      </c>
      <c r="G34" s="4" t="s">
        <v>125</v>
      </c>
    </row>
    <row r="35" spans="1:7" ht="22" customHeight="1">
      <c r="A35" s="5" t="s">
        <v>112</v>
      </c>
      <c r="B35" s="5" t="s">
        <v>160</v>
      </c>
      <c r="C35" s="5" t="s">
        <v>161</v>
      </c>
      <c r="D35" s="10" t="s">
        <v>17</v>
      </c>
      <c r="E35" s="5"/>
      <c r="F35" s="5">
        <f>IF(E35="", IFERROR(VLOOKUP(D35, '1. Roster &amp; Roles'!A:C, 3, FALSE), "Unassigned"), E35)</f>
        <v>0</v>
      </c>
      <c r="G35" s="5" t="s">
        <v>125</v>
      </c>
    </row>
    <row r="36" spans="1:7" ht="22" customHeight="1">
      <c r="A36" s="4" t="s">
        <v>112</v>
      </c>
      <c r="B36" s="4" t="s">
        <v>162</v>
      </c>
      <c r="C36" s="4" t="s">
        <v>158</v>
      </c>
      <c r="D36" s="10" t="s">
        <v>23</v>
      </c>
      <c r="E36" s="4"/>
      <c r="F36" s="4">
        <f>IF(E36="", IFERROR(VLOOKUP(D36, '1. Roster &amp; Roles'!A:C, 3, FALSE), "Unassigned"), E36)</f>
        <v>0</v>
      </c>
      <c r="G36" s="4" t="s">
        <v>125</v>
      </c>
    </row>
    <row r="37" spans="1:7" ht="22" customHeight="1">
      <c r="A37" s="5" t="s">
        <v>112</v>
      </c>
      <c r="B37" s="5" t="s">
        <v>163</v>
      </c>
      <c r="C37" s="5" t="s">
        <v>124</v>
      </c>
      <c r="D37" s="10" t="s">
        <v>23</v>
      </c>
      <c r="E37" s="5"/>
      <c r="F37" s="5">
        <f>IF(E37="", IFERROR(VLOOKUP(D37, '1. Roster &amp; Roles'!A:C, 3, FALSE), "Unassigned"), E37)</f>
        <v>0</v>
      </c>
      <c r="G37" s="5" t="s">
        <v>125</v>
      </c>
    </row>
    <row r="38" spans="1:7" ht="22" customHeight="1">
      <c r="A38" s="4" t="s">
        <v>112</v>
      </c>
      <c r="B38" s="4" t="s">
        <v>164</v>
      </c>
      <c r="C38" s="4" t="s">
        <v>165</v>
      </c>
      <c r="D38" s="10" t="s">
        <v>12</v>
      </c>
      <c r="E38" s="4"/>
      <c r="F38" s="4">
        <f>IF(E38="", IFERROR(VLOOKUP(D38, '1. Roster &amp; Roles'!A:C, 3, FALSE), "Unassigned"), E38)</f>
        <v>0</v>
      </c>
      <c r="G38" s="4" t="s">
        <v>125</v>
      </c>
    </row>
    <row r="39" spans="1:7" ht="22" customHeight="1">
      <c r="A39" s="5" t="s">
        <v>112</v>
      </c>
      <c r="B39" s="5" t="s">
        <v>166</v>
      </c>
      <c r="C39" s="5" t="s">
        <v>158</v>
      </c>
      <c r="D39" s="10" t="s">
        <v>12</v>
      </c>
      <c r="E39" s="5"/>
      <c r="F39" s="5">
        <f>IF(E39="", IFERROR(VLOOKUP(D39, '1. Roster &amp; Roles'!A:C, 3, FALSE), "Unassigned"), E39)</f>
        <v>0</v>
      </c>
      <c r="G39" s="5" t="s">
        <v>125</v>
      </c>
    </row>
    <row r="40" spans="1:7" ht="22" customHeight="1">
      <c r="A40" s="4" t="s">
        <v>112</v>
      </c>
      <c r="B40" s="4" t="s">
        <v>167</v>
      </c>
      <c r="C40" s="4" t="s">
        <v>158</v>
      </c>
      <c r="D40" s="10" t="s">
        <v>12</v>
      </c>
      <c r="E40" s="4"/>
      <c r="F40" s="4">
        <f>IF(E40="", IFERROR(VLOOKUP(D40, '1. Roster &amp; Roles'!A:C, 3, FALSE), "Unassigned"), E40)</f>
        <v>0</v>
      </c>
      <c r="G40" s="4" t="s">
        <v>125</v>
      </c>
    </row>
    <row r="41" spans="1:7" ht="22" customHeight="1">
      <c r="A41" s="5" t="s">
        <v>112</v>
      </c>
      <c r="B41" s="5" t="s">
        <v>168</v>
      </c>
      <c r="C41" s="5" t="s">
        <v>169</v>
      </c>
      <c r="D41" s="10" t="s">
        <v>12</v>
      </c>
      <c r="E41" s="5"/>
      <c r="F41" s="5">
        <f>IF(E41="", IFERROR(VLOOKUP(D41, '1. Roster &amp; Roles'!A:C, 3, FALSE), "Unassigned"), E41)</f>
        <v>0</v>
      </c>
      <c r="G41" s="5" t="s">
        <v>125</v>
      </c>
    </row>
    <row r="42" spans="1:7" ht="22" customHeight="1">
      <c r="A42" s="4" t="s">
        <v>112</v>
      </c>
      <c r="B42" s="4" t="s">
        <v>170</v>
      </c>
      <c r="C42" s="4" t="s">
        <v>169</v>
      </c>
      <c r="D42" s="10" t="s">
        <v>12</v>
      </c>
      <c r="E42" s="4"/>
      <c r="F42" s="4">
        <f>IF(E42="", IFERROR(VLOOKUP(D42, '1. Roster &amp; Roles'!A:C, 3, FALSE), "Unassigned"), E42)</f>
        <v>0</v>
      </c>
      <c r="G42" s="4" t="s">
        <v>125</v>
      </c>
    </row>
    <row r="43" spans="1:7" ht="22" customHeight="1">
      <c r="A43" s="5" t="s">
        <v>171</v>
      </c>
      <c r="B43" s="5" t="s">
        <v>172</v>
      </c>
      <c r="C43" s="5" t="s">
        <v>173</v>
      </c>
      <c r="D43" s="10" t="s">
        <v>27</v>
      </c>
      <c r="E43" s="5"/>
      <c r="F43" s="5">
        <f>IF(E43="", IFERROR(VLOOKUP(D43, '1. Roster &amp; Roles'!A:C, 3, FALSE), "Unassigned"), E43)</f>
        <v>0</v>
      </c>
      <c r="G43" s="5" t="s">
        <v>125</v>
      </c>
    </row>
    <row r="44" spans="1:7" ht="22" customHeight="1">
      <c r="A44" s="4" t="s">
        <v>171</v>
      </c>
      <c r="B44" s="4" t="s">
        <v>174</v>
      </c>
      <c r="C44" s="4" t="s">
        <v>175</v>
      </c>
      <c r="D44" s="10" t="s">
        <v>27</v>
      </c>
      <c r="E44" s="4"/>
      <c r="F44" s="4">
        <f>IF(E44="", IFERROR(VLOOKUP(D44, '1. Roster &amp; Roles'!A:C, 3, FALSE), "Unassigned"), E44)</f>
        <v>0</v>
      </c>
      <c r="G44" s="4" t="s">
        <v>125</v>
      </c>
    </row>
    <row r="45" spans="1:7" ht="22" customHeight="1">
      <c r="A45" s="5" t="s">
        <v>171</v>
      </c>
      <c r="B45" s="5" t="s">
        <v>176</v>
      </c>
      <c r="C45" s="5" t="s">
        <v>177</v>
      </c>
      <c r="D45" s="10" t="s">
        <v>27</v>
      </c>
      <c r="E45" s="5"/>
      <c r="F45" s="5">
        <f>IF(E45="", IFERROR(VLOOKUP(D45, '1. Roster &amp; Roles'!A:C, 3, FALSE), "Unassigned"), E45)</f>
        <v>0</v>
      </c>
      <c r="G45" s="5" t="s">
        <v>125</v>
      </c>
    </row>
    <row r="46" spans="1:7" ht="22" customHeight="1">
      <c r="A46" s="4" t="s">
        <v>171</v>
      </c>
      <c r="B46" s="4" t="s">
        <v>178</v>
      </c>
      <c r="C46" s="4" t="s">
        <v>179</v>
      </c>
      <c r="D46" s="10" t="s">
        <v>27</v>
      </c>
      <c r="E46" s="4"/>
      <c r="F46" s="4">
        <f>IF(E46="", IFERROR(VLOOKUP(D46, '1. Roster &amp; Roles'!A:C, 3, FALSE), "Unassigned"), E46)</f>
        <v>0</v>
      </c>
      <c r="G46" s="4" t="s">
        <v>125</v>
      </c>
    </row>
    <row r="47" spans="1:7" ht="22" customHeight="1">
      <c r="A47" s="5" t="s">
        <v>171</v>
      </c>
      <c r="B47" s="5" t="s">
        <v>180</v>
      </c>
      <c r="C47" s="5" t="s">
        <v>181</v>
      </c>
      <c r="D47" s="10" t="s">
        <v>27</v>
      </c>
      <c r="E47" s="5"/>
      <c r="F47" s="5">
        <f>IF(E47="", IFERROR(VLOOKUP(D47, '1. Roster &amp; Roles'!A:C, 3, FALSE), "Unassigned"), E47)</f>
        <v>0</v>
      </c>
      <c r="G47" s="5" t="s">
        <v>125</v>
      </c>
    </row>
    <row r="48" spans="1:7" ht="22" customHeight="1">
      <c r="A48" s="4" t="s">
        <v>171</v>
      </c>
      <c r="B48" s="4" t="s">
        <v>182</v>
      </c>
      <c r="C48" s="4" t="s">
        <v>183</v>
      </c>
      <c r="D48" s="10" t="s">
        <v>27</v>
      </c>
      <c r="E48" s="4"/>
      <c r="F48" s="4">
        <f>IF(E48="", IFERROR(VLOOKUP(D48, '1. Roster &amp; Roles'!A:C, 3, FALSE), "Unassigned"), E48)</f>
        <v>0</v>
      </c>
      <c r="G48" s="4" t="s">
        <v>125</v>
      </c>
    </row>
    <row r="49" spans="1:7" ht="22" customHeight="1">
      <c r="A49" s="5" t="s">
        <v>171</v>
      </c>
      <c r="B49" s="5" t="s">
        <v>184</v>
      </c>
      <c r="C49" s="5" t="s">
        <v>185</v>
      </c>
      <c r="D49" s="10" t="s">
        <v>27</v>
      </c>
      <c r="E49" s="5"/>
      <c r="F49" s="5">
        <f>IF(E49="", IFERROR(VLOOKUP(D49, '1. Roster &amp; Roles'!A:C, 3, FALSE), "Unassigned"), E49)</f>
        <v>0</v>
      </c>
      <c r="G49" s="5" t="s">
        <v>125</v>
      </c>
    </row>
    <row r="50" spans="1:7" ht="22" customHeight="1">
      <c r="A50" s="4" t="s">
        <v>171</v>
      </c>
      <c r="B50" s="4" t="s">
        <v>186</v>
      </c>
      <c r="C50" s="4" t="s">
        <v>179</v>
      </c>
      <c r="D50" s="10" t="s">
        <v>27</v>
      </c>
      <c r="E50" s="4"/>
      <c r="F50" s="4">
        <f>IF(E50="", IFERROR(VLOOKUP(D50, '1. Roster &amp; Roles'!A:C, 3, FALSE), "Unassigned"), E50)</f>
        <v>0</v>
      </c>
      <c r="G50" s="4" t="s">
        <v>125</v>
      </c>
    </row>
    <row r="51" spans="1:7" ht="22" customHeight="1">
      <c r="A51" s="5" t="s">
        <v>171</v>
      </c>
      <c r="B51" s="5" t="s">
        <v>187</v>
      </c>
      <c r="C51" s="5" t="s">
        <v>188</v>
      </c>
      <c r="D51" s="10" t="s">
        <v>27</v>
      </c>
      <c r="E51" s="5"/>
      <c r="F51" s="5">
        <f>IF(E51="", IFERROR(VLOOKUP(D51, '1. Roster &amp; Roles'!A:C, 3, FALSE), "Unassigned"), E51)</f>
        <v>0</v>
      </c>
      <c r="G51" s="5" t="s">
        <v>125</v>
      </c>
    </row>
    <row r="52" spans="1:7" ht="22" customHeight="1">
      <c r="A52" s="4" t="s">
        <v>171</v>
      </c>
      <c r="B52" s="4" t="s">
        <v>189</v>
      </c>
      <c r="C52" s="4" t="s">
        <v>188</v>
      </c>
      <c r="D52" s="10" t="s">
        <v>27</v>
      </c>
      <c r="E52" s="4"/>
      <c r="F52" s="4">
        <f>IF(E52="", IFERROR(VLOOKUP(D52, '1. Roster &amp; Roles'!A:C, 3, FALSE), "Unassigned"), E52)</f>
        <v>0</v>
      </c>
      <c r="G52" s="4" t="s">
        <v>125</v>
      </c>
    </row>
    <row r="53" spans="1:7" ht="22" customHeight="1">
      <c r="A53" s="5" t="s">
        <v>171</v>
      </c>
      <c r="B53" s="5" t="s">
        <v>190</v>
      </c>
      <c r="C53" s="5" t="s">
        <v>191</v>
      </c>
      <c r="D53" s="10" t="s">
        <v>27</v>
      </c>
      <c r="E53" s="5"/>
      <c r="F53" s="5">
        <f>IF(E53="", IFERROR(VLOOKUP(D53, '1. Roster &amp; Roles'!A:C, 3, FALSE), "Unassigned"), E53)</f>
        <v>0</v>
      </c>
      <c r="G53" s="5" t="s">
        <v>125</v>
      </c>
    </row>
    <row r="54" spans="1:7" ht="22" customHeight="1">
      <c r="A54" s="4" t="s">
        <v>171</v>
      </c>
      <c r="B54" s="4" t="s">
        <v>192</v>
      </c>
      <c r="C54" s="4" t="s">
        <v>193</v>
      </c>
      <c r="D54" s="10" t="s">
        <v>27</v>
      </c>
      <c r="E54" s="4"/>
      <c r="F54" s="4">
        <f>IF(E54="", IFERROR(VLOOKUP(D54, '1. Roster &amp; Roles'!A:C, 3, FALSE), "Unassigned"), E54)</f>
        <v>0</v>
      </c>
      <c r="G54" s="4" t="s">
        <v>125</v>
      </c>
    </row>
    <row r="55" spans="1:7" ht="22" customHeight="1">
      <c r="A55" s="5" t="s">
        <v>171</v>
      </c>
      <c r="B55" s="5" t="s">
        <v>194</v>
      </c>
      <c r="C55" s="5" t="s">
        <v>195</v>
      </c>
      <c r="D55" s="10" t="s">
        <v>27</v>
      </c>
      <c r="E55" s="5"/>
      <c r="F55" s="5">
        <f>IF(E55="", IFERROR(VLOOKUP(D55, '1. Roster &amp; Roles'!A:C, 3, FALSE), "Unassigned"), E55)</f>
        <v>0</v>
      </c>
      <c r="G55" s="5" t="s">
        <v>125</v>
      </c>
    </row>
    <row r="56" spans="1:7" ht="22" customHeight="1">
      <c r="A56" s="4" t="s">
        <v>171</v>
      </c>
      <c r="B56" s="4" t="s">
        <v>196</v>
      </c>
      <c r="C56" s="4" t="s">
        <v>191</v>
      </c>
      <c r="D56" s="10" t="s">
        <v>27</v>
      </c>
      <c r="E56" s="4"/>
      <c r="F56" s="4">
        <f>IF(E56="", IFERROR(VLOOKUP(D56, '1. Roster &amp; Roles'!A:C, 3, FALSE), "Unassigned"), E56)</f>
        <v>0</v>
      </c>
      <c r="G56" s="4" t="s">
        <v>125</v>
      </c>
    </row>
    <row r="57" spans="1:7" ht="22" customHeight="1">
      <c r="A57" s="5" t="s">
        <v>171</v>
      </c>
      <c r="B57" s="5" t="s">
        <v>197</v>
      </c>
      <c r="C57" s="5" t="s">
        <v>198</v>
      </c>
      <c r="D57" s="10" t="s">
        <v>27</v>
      </c>
      <c r="E57" s="5"/>
      <c r="F57" s="5">
        <f>IF(E57="", IFERROR(VLOOKUP(D57, '1. Roster &amp; Roles'!A:C, 3, FALSE), "Unassigned"), E57)</f>
        <v>0</v>
      </c>
      <c r="G57" s="5" t="s">
        <v>125</v>
      </c>
    </row>
    <row r="58" spans="1:7" ht="22" customHeight="1">
      <c r="A58" s="4" t="s">
        <v>171</v>
      </c>
      <c r="B58" s="4" t="s">
        <v>199</v>
      </c>
      <c r="C58" s="4" t="s">
        <v>200</v>
      </c>
      <c r="D58" s="10" t="s">
        <v>27</v>
      </c>
      <c r="E58" s="4"/>
      <c r="F58" s="4">
        <f>IF(E58="", IFERROR(VLOOKUP(D58, '1. Roster &amp; Roles'!A:C, 3, FALSE), "Unassigned"), E58)</f>
        <v>0</v>
      </c>
      <c r="G58" s="4" t="s">
        <v>125</v>
      </c>
    </row>
    <row r="59" spans="1:7" ht="22" customHeight="1">
      <c r="A59" s="5" t="s">
        <v>171</v>
      </c>
      <c r="B59" s="5" t="s">
        <v>201</v>
      </c>
      <c r="C59" s="5" t="s">
        <v>202</v>
      </c>
      <c r="D59" s="10" t="s">
        <v>27</v>
      </c>
      <c r="E59" s="5"/>
      <c r="F59" s="5">
        <f>IF(E59="", IFERROR(VLOOKUP(D59, '1. Roster &amp; Roles'!A:C, 3, FALSE), "Unassigned"), E59)</f>
        <v>0</v>
      </c>
      <c r="G59" s="5" t="s">
        <v>125</v>
      </c>
    </row>
    <row r="60" spans="1:7" ht="22" customHeight="1">
      <c r="A60" s="4" t="s">
        <v>203</v>
      </c>
      <c r="B60" s="4" t="s">
        <v>204</v>
      </c>
      <c r="C60" s="4" t="s">
        <v>205</v>
      </c>
      <c r="D60" s="10" t="s">
        <v>20</v>
      </c>
      <c r="E60" s="4"/>
      <c r="F60" s="4">
        <f>IF(E60="", IFERROR(VLOOKUP(D60, '1. Roster &amp; Roles'!A:C, 3, FALSE), "Unassigned"), E60)</f>
        <v>0</v>
      </c>
      <c r="G60" s="4" t="s">
        <v>125</v>
      </c>
    </row>
    <row r="61" spans="1:7" ht="22" customHeight="1">
      <c r="A61" s="5" t="s">
        <v>203</v>
      </c>
      <c r="B61" s="5" t="s">
        <v>206</v>
      </c>
      <c r="C61" s="5" t="s">
        <v>205</v>
      </c>
      <c r="D61" s="10" t="s">
        <v>20</v>
      </c>
      <c r="E61" s="5"/>
      <c r="F61" s="5">
        <f>IF(E61="", IFERROR(VLOOKUP(D61, '1. Roster &amp; Roles'!A:C, 3, FALSE), "Unassigned"), E61)</f>
        <v>0</v>
      </c>
      <c r="G61" s="5" t="s">
        <v>125</v>
      </c>
    </row>
    <row r="62" spans="1:7" ht="22" customHeight="1">
      <c r="A62" s="4" t="s">
        <v>203</v>
      </c>
      <c r="B62" s="4" t="s">
        <v>207</v>
      </c>
      <c r="C62" s="4" t="s">
        <v>208</v>
      </c>
      <c r="D62" s="10" t="s">
        <v>20</v>
      </c>
      <c r="E62" s="4"/>
      <c r="F62" s="4">
        <f>IF(E62="", IFERROR(VLOOKUP(D62, '1. Roster &amp; Roles'!A:C, 3, FALSE), "Unassigned"), E62)</f>
        <v>0</v>
      </c>
      <c r="G62" s="4" t="s">
        <v>125</v>
      </c>
    </row>
    <row r="63" spans="1:7" ht="22" customHeight="1">
      <c r="A63" s="5" t="s">
        <v>203</v>
      </c>
      <c r="B63" s="5" t="s">
        <v>209</v>
      </c>
      <c r="C63" s="5" t="s">
        <v>210</v>
      </c>
      <c r="D63" s="10" t="s">
        <v>20</v>
      </c>
      <c r="E63" s="5"/>
      <c r="F63" s="5">
        <f>IF(E63="", IFERROR(VLOOKUP(D63, '1. Roster &amp; Roles'!A:C, 3, FALSE), "Unassigned"), E63)</f>
        <v>0</v>
      </c>
      <c r="G63" s="5" t="s">
        <v>125</v>
      </c>
    </row>
    <row r="64" spans="1:7" ht="22" customHeight="1">
      <c r="A64" s="4" t="s">
        <v>203</v>
      </c>
      <c r="B64" s="4" t="s">
        <v>211</v>
      </c>
      <c r="C64" s="4" t="s">
        <v>205</v>
      </c>
      <c r="D64" s="10" t="s">
        <v>20</v>
      </c>
      <c r="E64" s="4"/>
      <c r="F64" s="4">
        <f>IF(E64="", IFERROR(VLOOKUP(D64, '1. Roster &amp; Roles'!A:C, 3, FALSE), "Unassigned"), E64)</f>
        <v>0</v>
      </c>
      <c r="G64" s="4" t="s">
        <v>125</v>
      </c>
    </row>
    <row r="65" spans="1:7" ht="22" customHeight="1">
      <c r="A65" s="5" t="s">
        <v>203</v>
      </c>
      <c r="B65" s="5" t="s">
        <v>212</v>
      </c>
      <c r="C65" s="5" t="s">
        <v>205</v>
      </c>
      <c r="D65" s="10" t="s">
        <v>20</v>
      </c>
      <c r="E65" s="5"/>
      <c r="F65" s="5">
        <f>IF(E65="", IFERROR(VLOOKUP(D65, '1. Roster &amp; Roles'!A:C, 3, FALSE), "Unassigned"), E65)</f>
        <v>0</v>
      </c>
      <c r="G65" s="5" t="s">
        <v>125</v>
      </c>
    </row>
    <row r="66" spans="1:7" ht="22" customHeight="1">
      <c r="A66" s="4" t="s">
        <v>203</v>
      </c>
      <c r="B66" s="4" t="s">
        <v>213</v>
      </c>
      <c r="C66" s="4" t="s">
        <v>205</v>
      </c>
      <c r="D66" s="10" t="s">
        <v>20</v>
      </c>
      <c r="E66" s="4"/>
      <c r="F66" s="4">
        <f>IF(E66="", IFERROR(VLOOKUP(D66, '1. Roster &amp; Roles'!A:C, 3, FALSE), "Unassigned"), E66)</f>
        <v>0</v>
      </c>
      <c r="G66" s="4" t="s">
        <v>125</v>
      </c>
    </row>
    <row r="67" spans="1:7" ht="22" customHeight="1">
      <c r="A67" s="5" t="s">
        <v>203</v>
      </c>
      <c r="B67" s="5" t="s">
        <v>214</v>
      </c>
      <c r="C67" s="5" t="s">
        <v>205</v>
      </c>
      <c r="D67" s="10" t="s">
        <v>20</v>
      </c>
      <c r="E67" s="5"/>
      <c r="F67" s="5">
        <f>IF(E67="", IFERROR(VLOOKUP(D67, '1. Roster &amp; Roles'!A:C, 3, FALSE), "Unassigned"), E67)</f>
        <v>0</v>
      </c>
      <c r="G67" s="5" t="s">
        <v>125</v>
      </c>
    </row>
    <row r="68" spans="1:7" ht="22" customHeight="1">
      <c r="A68" s="4" t="s">
        <v>203</v>
      </c>
      <c r="B68" s="4" t="s">
        <v>215</v>
      </c>
      <c r="C68" s="4" t="s">
        <v>205</v>
      </c>
      <c r="D68" s="10" t="s">
        <v>20</v>
      </c>
      <c r="E68" s="4"/>
      <c r="F68" s="4">
        <f>IF(E68="", IFERROR(VLOOKUP(D68, '1. Roster &amp; Roles'!A:C, 3, FALSE), "Unassigned"), E68)</f>
        <v>0</v>
      </c>
      <c r="G68" s="4" t="s">
        <v>125</v>
      </c>
    </row>
  </sheetData>
  <dataValidations count="126">
    <dataValidation type="list" allowBlank="1" showInputMessage="1" sqref="E6">
      <formula1>'1. Roster &amp; Roles'!$C$5:$C$20</formula1>
    </dataValidation>
    <dataValidation type="list" allowBlank="1" showInputMessage="1" showErrorMessage="1" sqref="G6">
      <formula1>"To Buy,Pending,Packed,Done"</formula1>
    </dataValidation>
    <dataValidation type="list" allowBlank="1" showInputMessage="1" sqref="E7">
      <formula1>'1. Roster &amp; Roles'!$C$5:$C$20</formula1>
    </dataValidation>
    <dataValidation type="list" allowBlank="1" showInputMessage="1" showErrorMessage="1" sqref="G7">
      <formula1>"To Buy,Pending,Packed,Done"</formula1>
    </dataValidation>
    <dataValidation type="list" allowBlank="1" showInputMessage="1" sqref="E8">
      <formula1>'1. Roster &amp; Roles'!$C$5:$C$20</formula1>
    </dataValidation>
    <dataValidation type="list" allowBlank="1" showInputMessage="1" showErrorMessage="1" sqref="G8">
      <formula1>"To Buy,Pending,Packed,Done"</formula1>
    </dataValidation>
    <dataValidation type="list" allowBlank="1" showInputMessage="1" sqref="E9">
      <formula1>'1. Roster &amp; Roles'!$C$5:$C$20</formula1>
    </dataValidation>
    <dataValidation type="list" allowBlank="1" showInputMessage="1" showErrorMessage="1" sqref="G9">
      <formula1>"To Buy,Pending,Packed,Done"</formula1>
    </dataValidation>
    <dataValidation type="list" allowBlank="1" showInputMessage="1" sqref="E10">
      <formula1>'1. Roster &amp; Roles'!$C$5:$C$20</formula1>
    </dataValidation>
    <dataValidation type="list" allowBlank="1" showInputMessage="1" showErrorMessage="1" sqref="G10">
      <formula1>"To Buy,Pending,Packed,Done"</formula1>
    </dataValidation>
    <dataValidation type="list" allowBlank="1" showInputMessage="1" sqref="E11">
      <formula1>'1. Roster &amp; Roles'!$C$5:$C$20</formula1>
    </dataValidation>
    <dataValidation type="list" allowBlank="1" showInputMessage="1" showErrorMessage="1" sqref="G11">
      <formula1>"To Buy,Pending,Packed,Done"</formula1>
    </dataValidation>
    <dataValidation type="list" allowBlank="1" showInputMessage="1" sqref="E12">
      <formula1>'1. Roster &amp; Roles'!$C$5:$C$20</formula1>
    </dataValidation>
    <dataValidation type="list" allowBlank="1" showInputMessage="1" showErrorMessage="1" sqref="G12">
      <formula1>"To Buy,Pending,Packed,Done"</formula1>
    </dataValidation>
    <dataValidation type="list" allowBlank="1" showInputMessage="1" sqref="E13">
      <formula1>'1. Roster &amp; Roles'!$C$5:$C$20</formula1>
    </dataValidation>
    <dataValidation type="list" allowBlank="1" showInputMessage="1" showErrorMessage="1" sqref="G13">
      <formula1>"To Buy,Pending,Packed,Done"</formula1>
    </dataValidation>
    <dataValidation type="list" allowBlank="1" showInputMessage="1" sqref="E14">
      <formula1>'1. Roster &amp; Roles'!$C$5:$C$20</formula1>
    </dataValidation>
    <dataValidation type="list" allowBlank="1" showInputMessage="1" showErrorMessage="1" sqref="G14">
      <formula1>"To Buy,Pending,Packed,Done"</formula1>
    </dataValidation>
    <dataValidation type="list" allowBlank="1" showInputMessage="1" sqref="E15">
      <formula1>'1. Roster &amp; Roles'!$C$5:$C$20</formula1>
    </dataValidation>
    <dataValidation type="list" allowBlank="1" showInputMessage="1" showErrorMessage="1" sqref="G15">
      <formula1>"To Buy,Pending,Packed,Done"</formula1>
    </dataValidation>
    <dataValidation type="list" allowBlank="1" showInputMessage="1" sqref="E16">
      <formula1>'1. Roster &amp; Roles'!$C$5:$C$20</formula1>
    </dataValidation>
    <dataValidation type="list" allowBlank="1" showInputMessage="1" showErrorMessage="1" sqref="G16">
      <formula1>"To Buy,Pending,Packed,Done"</formula1>
    </dataValidation>
    <dataValidation type="list" allowBlank="1" showInputMessage="1" sqref="E17">
      <formula1>'1. Roster &amp; Roles'!$C$5:$C$20</formula1>
    </dataValidation>
    <dataValidation type="list" allowBlank="1" showInputMessage="1" showErrorMessage="1" sqref="G17">
      <formula1>"To Buy,Pending,Packed,Done"</formula1>
    </dataValidation>
    <dataValidation type="list" allowBlank="1" showInputMessage="1" sqref="E18">
      <formula1>'1. Roster &amp; Roles'!$C$5:$C$20</formula1>
    </dataValidation>
    <dataValidation type="list" allowBlank="1" showInputMessage="1" showErrorMessage="1" sqref="G18">
      <formula1>"To Buy,Pending,Packed,Done"</formula1>
    </dataValidation>
    <dataValidation type="list" allowBlank="1" showInputMessage="1" sqref="E19">
      <formula1>'1. Roster &amp; Roles'!$C$5:$C$20</formula1>
    </dataValidation>
    <dataValidation type="list" allowBlank="1" showInputMessage="1" showErrorMessage="1" sqref="G19">
      <formula1>"To Buy,Pending,Packed,Done"</formula1>
    </dataValidation>
    <dataValidation type="list" allowBlank="1" showInputMessage="1" sqref="E20">
      <formula1>'1. Roster &amp; Roles'!$C$5:$C$20</formula1>
    </dataValidation>
    <dataValidation type="list" allowBlank="1" showInputMessage="1" showErrorMessage="1" sqref="G20">
      <formula1>"To Buy,Pending,Packed,Done"</formula1>
    </dataValidation>
    <dataValidation type="list" allowBlank="1" showInputMessage="1" sqref="E21">
      <formula1>'1. Roster &amp; Roles'!$C$5:$C$20</formula1>
    </dataValidation>
    <dataValidation type="list" allowBlank="1" showInputMessage="1" showErrorMessage="1" sqref="G21">
      <formula1>"To Buy,Pending,Packed,Done"</formula1>
    </dataValidation>
    <dataValidation type="list" allowBlank="1" showInputMessage="1" sqref="E22">
      <formula1>'1. Roster &amp; Roles'!$C$5:$C$20</formula1>
    </dataValidation>
    <dataValidation type="list" allowBlank="1" showInputMessage="1" showErrorMessage="1" sqref="G22">
      <formula1>"To Buy,Pending,Packed,Done"</formula1>
    </dataValidation>
    <dataValidation type="list" allowBlank="1" showInputMessage="1" sqref="E23">
      <formula1>'1. Roster &amp; Roles'!$C$5:$C$20</formula1>
    </dataValidation>
    <dataValidation type="list" allowBlank="1" showInputMessage="1" showErrorMessage="1" sqref="G23">
      <formula1>"To Buy,Pending,Packed,Done"</formula1>
    </dataValidation>
    <dataValidation type="list" allowBlank="1" showInputMessage="1" sqref="E24">
      <formula1>'1. Roster &amp; Roles'!$C$5:$C$20</formula1>
    </dataValidation>
    <dataValidation type="list" allowBlank="1" showInputMessage="1" showErrorMessage="1" sqref="G24">
      <formula1>"To Buy,Pending,Packed,Done"</formula1>
    </dataValidation>
    <dataValidation type="list" allowBlank="1" showInputMessage="1" sqref="E25">
      <formula1>'1. Roster &amp; Roles'!$C$5:$C$20</formula1>
    </dataValidation>
    <dataValidation type="list" allowBlank="1" showInputMessage="1" showErrorMessage="1" sqref="G25">
      <formula1>"To Buy,Pending,Packed,Done"</formula1>
    </dataValidation>
    <dataValidation type="list" allowBlank="1" showInputMessage="1" sqref="E26">
      <formula1>'1. Roster &amp; Roles'!$C$5:$C$20</formula1>
    </dataValidation>
    <dataValidation type="list" allowBlank="1" showInputMessage="1" showErrorMessage="1" sqref="G26">
      <formula1>"To Buy,Pending,Packed,Done"</formula1>
    </dataValidation>
    <dataValidation type="list" allowBlank="1" showInputMessage="1" sqref="E27">
      <formula1>'1. Roster &amp; Roles'!$C$5:$C$20</formula1>
    </dataValidation>
    <dataValidation type="list" allowBlank="1" showInputMessage="1" showErrorMessage="1" sqref="G27">
      <formula1>"To Buy,Pending,Packed,Done"</formula1>
    </dataValidation>
    <dataValidation type="list" allowBlank="1" showInputMessage="1" sqref="E28">
      <formula1>'1. Roster &amp; Roles'!$C$5:$C$20</formula1>
    </dataValidation>
    <dataValidation type="list" allowBlank="1" showInputMessage="1" showErrorMessage="1" sqref="G28">
      <formula1>"To Buy,Pending,Packed,Done"</formula1>
    </dataValidation>
    <dataValidation type="list" allowBlank="1" showInputMessage="1" sqref="E29">
      <formula1>'1. Roster &amp; Roles'!$C$5:$C$20</formula1>
    </dataValidation>
    <dataValidation type="list" allowBlank="1" showInputMessage="1" showErrorMessage="1" sqref="G29">
      <formula1>"To Buy,Pending,Packed,Done"</formula1>
    </dataValidation>
    <dataValidation type="list" allowBlank="1" showInputMessage="1" sqref="E30">
      <formula1>'1. Roster &amp; Roles'!$C$5:$C$20</formula1>
    </dataValidation>
    <dataValidation type="list" allowBlank="1" showInputMessage="1" showErrorMessage="1" sqref="G30">
      <formula1>"To Buy,Pending,Packed,Done"</formula1>
    </dataValidation>
    <dataValidation type="list" allowBlank="1" showInputMessage="1" sqref="E31">
      <formula1>'1. Roster &amp; Roles'!$C$5:$C$20</formula1>
    </dataValidation>
    <dataValidation type="list" allowBlank="1" showInputMessage="1" showErrorMessage="1" sqref="G31">
      <formula1>"To Buy,Pending,Packed,Done"</formula1>
    </dataValidation>
    <dataValidation type="list" allowBlank="1" showInputMessage="1" sqref="E32">
      <formula1>'1. Roster &amp; Roles'!$C$5:$C$20</formula1>
    </dataValidation>
    <dataValidation type="list" allowBlank="1" showInputMessage="1" showErrorMessage="1" sqref="G32">
      <formula1>"To Buy,Pending,Packed,Done"</formula1>
    </dataValidation>
    <dataValidation type="list" allowBlank="1" showInputMessage="1" sqref="E33">
      <formula1>'1. Roster &amp; Roles'!$C$5:$C$20</formula1>
    </dataValidation>
    <dataValidation type="list" allowBlank="1" showInputMessage="1" showErrorMessage="1" sqref="G33">
      <formula1>"To Buy,Pending,Packed,Done"</formula1>
    </dataValidation>
    <dataValidation type="list" allowBlank="1" showInputMessage="1" sqref="E34">
      <formula1>'1. Roster &amp; Roles'!$C$5:$C$20</formula1>
    </dataValidation>
    <dataValidation type="list" allowBlank="1" showInputMessage="1" showErrorMessage="1" sqref="G34">
      <formula1>"To Buy,Pending,Packed,Done"</formula1>
    </dataValidation>
    <dataValidation type="list" allowBlank="1" showInputMessage="1" sqref="E35">
      <formula1>'1. Roster &amp; Roles'!$C$5:$C$20</formula1>
    </dataValidation>
    <dataValidation type="list" allowBlank="1" showInputMessage="1" showErrorMessage="1" sqref="G35">
      <formula1>"To Buy,Pending,Packed,Done"</formula1>
    </dataValidation>
    <dataValidation type="list" allowBlank="1" showInputMessage="1" sqref="E36">
      <formula1>'1. Roster &amp; Roles'!$C$5:$C$20</formula1>
    </dataValidation>
    <dataValidation type="list" allowBlank="1" showInputMessage="1" showErrorMessage="1" sqref="G36">
      <formula1>"To Buy,Pending,Packed,Done"</formula1>
    </dataValidation>
    <dataValidation type="list" allowBlank="1" showInputMessage="1" sqref="E37">
      <formula1>'1. Roster &amp; Roles'!$C$5:$C$20</formula1>
    </dataValidation>
    <dataValidation type="list" allowBlank="1" showInputMessage="1" showErrorMessage="1" sqref="G37">
      <formula1>"To Buy,Pending,Packed,Done"</formula1>
    </dataValidation>
    <dataValidation type="list" allowBlank="1" showInputMessage="1" sqref="E38">
      <formula1>'1. Roster &amp; Roles'!$C$5:$C$20</formula1>
    </dataValidation>
    <dataValidation type="list" allowBlank="1" showInputMessage="1" showErrorMessage="1" sqref="G38">
      <formula1>"To Buy,Pending,Packed,Done"</formula1>
    </dataValidation>
    <dataValidation type="list" allowBlank="1" showInputMessage="1" sqref="E39">
      <formula1>'1. Roster &amp; Roles'!$C$5:$C$20</formula1>
    </dataValidation>
    <dataValidation type="list" allowBlank="1" showInputMessage="1" showErrorMessage="1" sqref="G39">
      <formula1>"To Buy,Pending,Packed,Done"</formula1>
    </dataValidation>
    <dataValidation type="list" allowBlank="1" showInputMessage="1" sqref="E40">
      <formula1>'1. Roster &amp; Roles'!$C$5:$C$20</formula1>
    </dataValidation>
    <dataValidation type="list" allowBlank="1" showInputMessage="1" showErrorMessage="1" sqref="G40">
      <formula1>"To Buy,Pending,Packed,Done"</formula1>
    </dataValidation>
    <dataValidation type="list" allowBlank="1" showInputMessage="1" sqref="E41">
      <formula1>'1. Roster &amp; Roles'!$C$5:$C$20</formula1>
    </dataValidation>
    <dataValidation type="list" allowBlank="1" showInputMessage="1" showErrorMessage="1" sqref="G41">
      <formula1>"To Buy,Pending,Packed,Done"</formula1>
    </dataValidation>
    <dataValidation type="list" allowBlank="1" showInputMessage="1" sqref="E42">
      <formula1>'1. Roster &amp; Roles'!$C$5:$C$20</formula1>
    </dataValidation>
    <dataValidation type="list" allowBlank="1" showInputMessage="1" showErrorMessage="1" sqref="G42">
      <formula1>"To Buy,Pending,Packed,Done"</formula1>
    </dataValidation>
    <dataValidation type="list" allowBlank="1" showInputMessage="1" sqref="E43">
      <formula1>'1. Roster &amp; Roles'!$C$5:$C$20</formula1>
    </dataValidation>
    <dataValidation type="list" allowBlank="1" showInputMessage="1" showErrorMessage="1" sqref="G43">
      <formula1>"To Buy,Pending,Packed,Done"</formula1>
    </dataValidation>
    <dataValidation type="list" allowBlank="1" showInputMessage="1" sqref="E44">
      <formula1>'1. Roster &amp; Roles'!$C$5:$C$20</formula1>
    </dataValidation>
    <dataValidation type="list" allowBlank="1" showInputMessage="1" showErrorMessage="1" sqref="G44">
      <formula1>"To Buy,Pending,Packed,Done"</formula1>
    </dataValidation>
    <dataValidation type="list" allowBlank="1" showInputMessage="1" sqref="E45">
      <formula1>'1. Roster &amp; Roles'!$C$5:$C$20</formula1>
    </dataValidation>
    <dataValidation type="list" allowBlank="1" showInputMessage="1" showErrorMessage="1" sqref="G45">
      <formula1>"To Buy,Pending,Packed,Done"</formula1>
    </dataValidation>
    <dataValidation type="list" allowBlank="1" showInputMessage="1" sqref="E46">
      <formula1>'1. Roster &amp; Roles'!$C$5:$C$20</formula1>
    </dataValidation>
    <dataValidation type="list" allowBlank="1" showInputMessage="1" showErrorMessage="1" sqref="G46">
      <formula1>"To Buy,Pending,Packed,Done"</formula1>
    </dataValidation>
    <dataValidation type="list" allowBlank="1" showInputMessage="1" sqref="E47">
      <formula1>'1. Roster &amp; Roles'!$C$5:$C$20</formula1>
    </dataValidation>
    <dataValidation type="list" allowBlank="1" showInputMessage="1" showErrorMessage="1" sqref="G47">
      <formula1>"To Buy,Pending,Packed,Done"</formula1>
    </dataValidation>
    <dataValidation type="list" allowBlank="1" showInputMessage="1" sqref="E48">
      <formula1>'1. Roster &amp; Roles'!$C$5:$C$20</formula1>
    </dataValidation>
    <dataValidation type="list" allowBlank="1" showInputMessage="1" showErrorMessage="1" sqref="G48">
      <formula1>"To Buy,Pending,Packed,Done"</formula1>
    </dataValidation>
    <dataValidation type="list" allowBlank="1" showInputMessage="1" sqref="E49">
      <formula1>'1. Roster &amp; Roles'!$C$5:$C$20</formula1>
    </dataValidation>
    <dataValidation type="list" allowBlank="1" showInputMessage="1" showErrorMessage="1" sqref="G49">
      <formula1>"To Buy,Pending,Packed,Done"</formula1>
    </dataValidation>
    <dataValidation type="list" allowBlank="1" showInputMessage="1" sqref="E50">
      <formula1>'1. Roster &amp; Roles'!$C$5:$C$20</formula1>
    </dataValidation>
    <dataValidation type="list" allowBlank="1" showInputMessage="1" showErrorMessage="1" sqref="G50">
      <formula1>"To Buy,Pending,Packed,Done"</formula1>
    </dataValidation>
    <dataValidation type="list" allowBlank="1" showInputMessage="1" sqref="E51">
      <formula1>'1. Roster &amp; Roles'!$C$5:$C$20</formula1>
    </dataValidation>
    <dataValidation type="list" allowBlank="1" showInputMessage="1" showErrorMessage="1" sqref="G51">
      <formula1>"To Buy,Pending,Packed,Done"</formula1>
    </dataValidation>
    <dataValidation type="list" allowBlank="1" showInputMessage="1" sqref="E52">
      <formula1>'1. Roster &amp; Roles'!$C$5:$C$20</formula1>
    </dataValidation>
    <dataValidation type="list" allowBlank="1" showInputMessage="1" showErrorMessage="1" sqref="G52">
      <formula1>"To Buy,Pending,Packed,Done"</formula1>
    </dataValidation>
    <dataValidation type="list" allowBlank="1" showInputMessage="1" sqref="E53">
      <formula1>'1. Roster &amp; Roles'!$C$5:$C$20</formula1>
    </dataValidation>
    <dataValidation type="list" allowBlank="1" showInputMessage="1" showErrorMessage="1" sqref="G53">
      <formula1>"To Buy,Pending,Packed,Done"</formula1>
    </dataValidation>
    <dataValidation type="list" allowBlank="1" showInputMessage="1" sqref="E54">
      <formula1>'1. Roster &amp; Roles'!$C$5:$C$20</formula1>
    </dataValidation>
    <dataValidation type="list" allowBlank="1" showInputMessage="1" showErrorMessage="1" sqref="G54">
      <formula1>"To Buy,Pending,Packed,Done"</formula1>
    </dataValidation>
    <dataValidation type="list" allowBlank="1" showInputMessage="1" sqref="E55">
      <formula1>'1. Roster &amp; Roles'!$C$5:$C$20</formula1>
    </dataValidation>
    <dataValidation type="list" allowBlank="1" showInputMessage="1" showErrorMessage="1" sqref="G55">
      <formula1>"To Buy,Pending,Packed,Done"</formula1>
    </dataValidation>
    <dataValidation type="list" allowBlank="1" showInputMessage="1" sqref="E56">
      <formula1>'1. Roster &amp; Roles'!$C$5:$C$20</formula1>
    </dataValidation>
    <dataValidation type="list" allowBlank="1" showInputMessage="1" showErrorMessage="1" sqref="G56">
      <formula1>"To Buy,Pending,Packed,Done"</formula1>
    </dataValidation>
    <dataValidation type="list" allowBlank="1" showInputMessage="1" sqref="E57">
      <formula1>'1. Roster &amp; Roles'!$C$5:$C$20</formula1>
    </dataValidation>
    <dataValidation type="list" allowBlank="1" showInputMessage="1" showErrorMessage="1" sqref="G57">
      <formula1>"To Buy,Pending,Packed,Done"</formula1>
    </dataValidation>
    <dataValidation type="list" allowBlank="1" showInputMessage="1" sqref="E58">
      <formula1>'1. Roster &amp; Roles'!$C$5:$C$20</formula1>
    </dataValidation>
    <dataValidation type="list" allowBlank="1" showInputMessage="1" showErrorMessage="1" sqref="G58">
      <formula1>"To Buy,Pending,Packed,Done"</formula1>
    </dataValidation>
    <dataValidation type="list" allowBlank="1" showInputMessage="1" sqref="E59">
      <formula1>'1. Roster &amp; Roles'!$C$5:$C$20</formula1>
    </dataValidation>
    <dataValidation type="list" allowBlank="1" showInputMessage="1" showErrorMessage="1" sqref="G59">
      <formula1>"To Buy,Pending,Packed,Done"</formula1>
    </dataValidation>
    <dataValidation type="list" allowBlank="1" showInputMessage="1" sqref="E60">
      <formula1>'1. Roster &amp; Roles'!$C$5:$C$20</formula1>
    </dataValidation>
    <dataValidation type="list" allowBlank="1" showInputMessage="1" showErrorMessage="1" sqref="G60">
      <formula1>"To Buy,Pending,Packed,Done"</formula1>
    </dataValidation>
    <dataValidation type="list" allowBlank="1" showInputMessage="1" sqref="E61">
      <formula1>'1. Roster &amp; Roles'!$C$5:$C$20</formula1>
    </dataValidation>
    <dataValidation type="list" allowBlank="1" showInputMessage="1" showErrorMessage="1" sqref="G61">
      <formula1>"To Buy,Pending,Packed,Done"</formula1>
    </dataValidation>
    <dataValidation type="list" allowBlank="1" showInputMessage="1" sqref="E62">
      <formula1>'1. Roster &amp; Roles'!$C$5:$C$20</formula1>
    </dataValidation>
    <dataValidation type="list" allowBlank="1" showInputMessage="1" showErrorMessage="1" sqref="G62">
      <formula1>"To Buy,Pending,Packed,Done"</formula1>
    </dataValidation>
    <dataValidation type="list" allowBlank="1" showInputMessage="1" sqref="E63">
      <formula1>'1. Roster &amp; Roles'!$C$5:$C$20</formula1>
    </dataValidation>
    <dataValidation type="list" allowBlank="1" showInputMessage="1" showErrorMessage="1" sqref="G63">
      <formula1>"To Buy,Pending,Packed,Done"</formula1>
    </dataValidation>
    <dataValidation type="list" allowBlank="1" showInputMessage="1" sqref="E64">
      <formula1>'1. Roster &amp; Roles'!$C$5:$C$20</formula1>
    </dataValidation>
    <dataValidation type="list" allowBlank="1" showInputMessage="1" showErrorMessage="1" sqref="G64">
      <formula1>"To Buy,Pending,Packed,Done"</formula1>
    </dataValidation>
    <dataValidation type="list" allowBlank="1" showInputMessage="1" sqref="E65">
      <formula1>'1. Roster &amp; Roles'!$C$5:$C$20</formula1>
    </dataValidation>
    <dataValidation type="list" allowBlank="1" showInputMessage="1" showErrorMessage="1" sqref="G65">
      <formula1>"To Buy,Pending,Packed,Done"</formula1>
    </dataValidation>
    <dataValidation type="list" allowBlank="1" showInputMessage="1" sqref="E66">
      <formula1>'1. Roster &amp; Roles'!$C$5:$C$20</formula1>
    </dataValidation>
    <dataValidation type="list" allowBlank="1" showInputMessage="1" showErrorMessage="1" sqref="G66">
      <formula1>"To Buy,Pending,Packed,Done"</formula1>
    </dataValidation>
    <dataValidation type="list" allowBlank="1" showInputMessage="1" sqref="E67">
      <formula1>'1. Roster &amp; Roles'!$C$5:$C$20</formula1>
    </dataValidation>
    <dataValidation type="list" allowBlank="1" showInputMessage="1" showErrorMessage="1" sqref="G67">
      <formula1>"To Buy,Pending,Packed,Done"</formula1>
    </dataValidation>
    <dataValidation type="list" allowBlank="1" showInputMessage="1" sqref="E68">
      <formula1>'1. Roster &amp; Roles'!$C$5:$C$20</formula1>
    </dataValidation>
    <dataValidation type="list" allowBlank="1" showInputMessage="1" showErrorMessage="1" sqref="G68">
      <formula1>"To Buy,Pending,Packed,Done"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Roster &amp; Roles</vt:lpstr>
      <vt:lpstr>2. Dynamic Timetable</vt:lpstr>
      <vt:lpstr>3. Task Checklist</vt:lpstr>
      <vt:lpstr>4. Equipment &amp; Shopping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2026-07-21T20:21:51Z</dcterms:created>
  <dcterms:modified xsi:type="dcterms:W3CDTF">2026-07-21T20:21:51Z</dcterms:modified>
</cp:coreProperties>
</file>
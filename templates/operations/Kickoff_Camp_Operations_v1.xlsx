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 &amp; Roles" sheetId="1" r:id="rId1"/>
    <sheet name="Dynamic Run Sheet" sheetId="2" r:id="rId2"/>
    <sheet name="Equipment &amp; Tasks" sheetId="3" r:id="rId3"/>
  </sheets>
  <calcPr calcId="124519" fullCalcOnLoad="1"/>
</workbook>
</file>

<file path=xl/sharedStrings.xml><?xml version="1.0" encoding="utf-8"?>
<sst xmlns="http://schemas.openxmlformats.org/spreadsheetml/2006/main" count="176" uniqueCount="110">
  <si>
    <t>Role</t>
  </si>
  <si>
    <t>Description &amp; Default Duties</t>
  </si>
  <si>
    <t>Assigned Leader</t>
  </si>
  <si>
    <t>Contact Number</t>
  </si>
  <si>
    <t>Email</t>
  </si>
  <si>
    <t>Oversight Lead</t>
  </si>
  <si>
    <t>Coordinates the overall flow, handles live issues, and leads reflections.</t>
  </si>
  <si>
    <t>Ian Sinclair</t>
  </si>
  <si>
    <t>+27 63 893 9452</t>
  </si>
  <si>
    <t>sinclairian2408@gmail.com</t>
  </si>
  <si>
    <t>Logistics Lead</t>
  </si>
  <si>
    <t>Manages physical setup: camp layout, shelters, fire, and equipment.</t>
  </si>
  <si>
    <t>Neil Harrower</t>
  </si>
  <si>
    <t>+27 71 950 8363</t>
  </si>
  <si>
    <t>neilharrower@gmail.com</t>
  </si>
  <si>
    <t>Session Coordinator</t>
  </si>
  <si>
    <t>Facilitates core structured sessions (Malachi, Communion, Father/Son times).</t>
  </si>
  <si>
    <t>Marvin Welby-Solomon</t>
  </si>
  <si>
    <t>Administration</t>
  </si>
  <si>
    <t>Handles checklists, nametags, forms, and general paperwork.</t>
  </si>
  <si>
    <t>Paul Barter</t>
  </si>
  <si>
    <t>Activity Facilitator</t>
  </si>
  <si>
    <t>Runs the games, challenges (Clay Latte, Tug of War, etc.).</t>
  </si>
  <si>
    <t>Kingsley Williams</t>
  </si>
  <si>
    <t>+27 83 260 5311</t>
  </si>
  <si>
    <t>Catering / Food Lead</t>
  </si>
  <si>
    <t>Ensures meals are prepped, cooked, and cleaned up.</t>
  </si>
  <si>
    <t>Kevin de Wet</t>
  </si>
  <si>
    <t>+27 82 908 2460</t>
  </si>
  <si>
    <t>General Helper 1</t>
  </si>
  <si>
    <t>Assists where needed.</t>
  </si>
  <si>
    <t>Raldo Kruger</t>
  </si>
  <si>
    <t>+27 84 511 8606</t>
  </si>
  <si>
    <t>General Helper 2</t>
  </si>
  <si>
    <t>Gavin Graham</t>
  </si>
  <si>
    <t>Camp Start Time:</t>
  </si>
  <si>
    <t>&lt;-- Change this single cell to shift the entire schedule</t>
  </si>
  <si>
    <t>Day</t>
  </si>
  <si>
    <t>Phase</t>
  </si>
  <si>
    <t>Duration (min)</t>
  </si>
  <si>
    <t>Calculated Start</t>
  </si>
  <si>
    <t>Calculated End</t>
  </si>
  <si>
    <t>Activity / Task</t>
  </si>
  <si>
    <t>Default Role</t>
  </si>
  <si>
    <t>Custom Leader Override</t>
  </si>
  <si>
    <t>Final Assigned Leader</t>
  </si>
  <si>
    <t>Saturday</t>
  </si>
  <si>
    <t>Arrival</t>
  </si>
  <si>
    <t>Arrive at camp, name tags, get to know contacts</t>
  </si>
  <si>
    <t>Ice Breaker</t>
  </si>
  <si>
    <t>Get to know each other (Boys introduce Fathers, name game)</t>
  </si>
  <si>
    <t>Activity</t>
  </si>
  <si>
    <t>Father and daughter activities (Clay Latte) &amp; Dam swim</t>
  </si>
  <si>
    <t>Setup</t>
  </si>
  <si>
    <t>Set-up shelters, Bivvie equipment, prepare fire</t>
  </si>
  <si>
    <t>Dinner Prep</t>
  </si>
  <si>
    <t>Prepare and Cook Supper</t>
  </si>
  <si>
    <t>Dinner</t>
  </si>
  <si>
    <t>Dads and daughters have supper together (quality time / questions)</t>
  </si>
  <si>
    <t>Evening</t>
  </si>
  <si>
    <t>Marshmallows and stokbrood at fire, chat about questions</t>
  </si>
  <si>
    <t>Wind Down</t>
  </si>
  <si>
    <t>Present skits and carving, end of evening debrief</t>
  </si>
  <si>
    <t>Lights Out</t>
  </si>
  <si>
    <t>Bed time</t>
  </si>
  <si>
    <t>Sunday</t>
  </si>
  <si>
    <t>Morning</t>
  </si>
  <si>
    <t>Wake up, dam swim, boil kettles, coffee</t>
  </si>
  <si>
    <t>Session 1</t>
  </si>
  <si>
    <t>Malachi discussion (sand demo) and communion</t>
  </si>
  <si>
    <t>Session 2</t>
  </si>
  <si>
    <t>Father and Daughter Quiet time (reflect on Malachi)</t>
  </si>
  <si>
    <t>Breakfast</t>
  </si>
  <si>
    <t>Session 3</t>
  </si>
  <si>
    <t>Dad's talk and daughters talk split</t>
  </si>
  <si>
    <t>Debrief</t>
  </si>
  <si>
    <t>Reflection on the sleepover, present carving</t>
  </si>
  <si>
    <t>Pack Up</t>
  </si>
  <si>
    <t>Pack up camp</t>
  </si>
  <si>
    <t>Father and Daughter Activity (Tug of war, Swim)</t>
  </si>
  <si>
    <t>Departure</t>
  </si>
  <si>
    <t>Depart from camp</t>
  </si>
  <si>
    <t>Category</t>
  </si>
  <si>
    <t>Item / Task</t>
  </si>
  <si>
    <t>Qty</t>
  </si>
  <si>
    <t>Custom Override</t>
  </si>
  <si>
    <t>Final Assigned</t>
  </si>
  <si>
    <t>Status</t>
  </si>
  <si>
    <t>Camp Layout</t>
  </si>
  <si>
    <t>1</t>
  </si>
  <si>
    <t>Pending</t>
  </si>
  <si>
    <t>Shelter / Tents</t>
  </si>
  <si>
    <t>21</t>
  </si>
  <si>
    <t>Food</t>
  </si>
  <si>
    <t>Washing bowl &amp; cloth</t>
  </si>
  <si>
    <t>1 set</t>
  </si>
  <si>
    <t>Coffee Instant</t>
  </si>
  <si>
    <t>2 jars</t>
  </si>
  <si>
    <t>Activities</t>
  </si>
  <si>
    <t>Dad/Daughter Questions</t>
  </si>
  <si>
    <t>16</t>
  </si>
  <si>
    <t>Stokbrood Stok</t>
  </si>
  <si>
    <t>43</t>
  </si>
  <si>
    <t>Tug of war rope</t>
  </si>
  <si>
    <t>Communion cups</t>
  </si>
  <si>
    <t>50</t>
  </si>
  <si>
    <t>Admin</t>
  </si>
  <si>
    <t>Name Tags</t>
  </si>
  <si>
    <t>Safety</t>
  </si>
  <si>
    <t>First Aid Kit</t>
  </si>
</sst>
</file>

<file path=xl/styles.xml><?xml version="1.0" encoding="utf-8"?>
<styleSheet xmlns="http://schemas.openxmlformats.org/spreadsheetml/2006/main">
  <numFmts count="2">
    <numFmt numFmtId="164" formatCode="yyyy-mm-dd hh:mm AM/PM"/>
    <numFmt numFmtId="165" formatCode="hh:mm AM/P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0" applyFont="1"/>
    <xf numFmtId="0" fontId="0" fillId="0" borderId="1" xfId="0" applyBorder="1" applyAlignment="1">
      <alignment vertical="center"/>
    </xf>
    <xf numFmtId="165" fontId="0" fillId="0" borderId="0" xfId="0" applyNumberFormat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5.7109375" customWidth="1"/>
    <col min="2" max="2" width="50.7109375" customWidth="1"/>
    <col min="3" max="3" width="20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/>
      <c r="E4" s="2"/>
    </row>
    <row r="5" spans="1:5">
      <c r="A5" s="2" t="s">
        <v>18</v>
      </c>
      <c r="B5" s="2" t="s">
        <v>19</v>
      </c>
      <c r="C5" s="2" t="s">
        <v>20</v>
      </c>
      <c r="D5" s="2"/>
      <c r="E5" s="2"/>
    </row>
    <row r="6" spans="1:5">
      <c r="A6" s="2" t="s">
        <v>21</v>
      </c>
      <c r="B6" s="2" t="s">
        <v>22</v>
      </c>
      <c r="C6" s="2" t="s">
        <v>23</v>
      </c>
      <c r="D6" s="2" t="s">
        <v>24</v>
      </c>
      <c r="E6" s="2"/>
    </row>
    <row r="7" spans="1:5">
      <c r="A7" s="2" t="s">
        <v>25</v>
      </c>
      <c r="B7" s="2" t="s">
        <v>26</v>
      </c>
      <c r="C7" s="2" t="s">
        <v>27</v>
      </c>
      <c r="D7" s="2" t="s">
        <v>28</v>
      </c>
      <c r="E7" s="2"/>
    </row>
    <row r="8" spans="1:5">
      <c r="A8" s="2" t="s">
        <v>29</v>
      </c>
      <c r="B8" s="2" t="s">
        <v>30</v>
      </c>
      <c r="C8" s="2" t="s">
        <v>31</v>
      </c>
      <c r="D8" s="2" t="s">
        <v>32</v>
      </c>
      <c r="E8" s="2"/>
    </row>
    <row r="9" spans="1:5">
      <c r="A9" s="2" t="s">
        <v>33</v>
      </c>
      <c r="B9" s="2" t="s">
        <v>30</v>
      </c>
      <c r="C9" s="2" t="s">
        <v>34</v>
      </c>
      <c r="D9" s="2"/>
      <c r="E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cols>
    <col min="1" max="5" width="15.7109375" customWidth="1"/>
    <col min="6" max="6" width="50.7109375" customWidth="1"/>
    <col min="7" max="7" width="20.7109375" customWidth="1"/>
    <col min="8" max="8" width="25.7109375" customWidth="1"/>
    <col min="9" max="9" width="20.7109375" customWidth="1"/>
  </cols>
  <sheetData>
    <row r="1" spans="1:9">
      <c r="A1" s="3" t="s">
        <v>35</v>
      </c>
      <c r="C1" s="4">
        <v>46053.625</v>
      </c>
      <c r="D1" s="5" t="s">
        <v>36</v>
      </c>
    </row>
    <row r="4" spans="1:9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</row>
    <row r="5" spans="1:9">
      <c r="A5" s="6" t="s">
        <v>46</v>
      </c>
      <c r="B5" s="6" t="s">
        <v>47</v>
      </c>
      <c r="C5" s="6">
        <v>30</v>
      </c>
      <c r="D5" s="7">
        <f>C1</f>
        <v>0</v>
      </c>
      <c r="E5" s="7">
        <f>D5 + (C5/1440)</f>
        <v>0</v>
      </c>
      <c r="F5" s="2" t="s">
        <v>48</v>
      </c>
      <c r="G5" s="8" t="s">
        <v>18</v>
      </c>
      <c r="H5" s="6"/>
      <c r="I5" s="6">
        <f>IF(H5="", IFERROR(VLOOKUP(G5, 'Roster &amp; Roles'!A:C, 3, FALSE), "Unassigned"), H5)</f>
        <v>0</v>
      </c>
    </row>
    <row r="6" spans="1:9">
      <c r="A6" s="6" t="s">
        <v>46</v>
      </c>
      <c r="B6" s="6" t="s">
        <v>49</v>
      </c>
      <c r="C6" s="6">
        <v>30</v>
      </c>
      <c r="D6" s="7">
        <f>E5</f>
        <v>0</v>
      </c>
      <c r="E6" s="7">
        <f>D6 + (C6/1440)</f>
        <v>0</v>
      </c>
      <c r="F6" s="2" t="s">
        <v>50</v>
      </c>
      <c r="G6" s="8" t="s">
        <v>21</v>
      </c>
      <c r="H6" s="6"/>
      <c r="I6" s="6">
        <f>IF(H6="", IFERROR(VLOOKUP(G6, 'Roster &amp; Roles'!A:C, 3, FALSE), "Unassigned"), H6)</f>
        <v>0</v>
      </c>
    </row>
    <row r="7" spans="1:9">
      <c r="A7" s="6" t="s">
        <v>46</v>
      </c>
      <c r="B7" s="6" t="s">
        <v>51</v>
      </c>
      <c r="C7" s="6">
        <v>90</v>
      </c>
      <c r="D7" s="7">
        <f>E6</f>
        <v>0</v>
      </c>
      <c r="E7" s="7">
        <f>D7 + (C7/1440)</f>
        <v>0</v>
      </c>
      <c r="F7" s="2" t="s">
        <v>52</v>
      </c>
      <c r="G7" s="8" t="s">
        <v>21</v>
      </c>
      <c r="H7" s="6"/>
      <c r="I7" s="6">
        <f>IF(H7="", IFERROR(VLOOKUP(G7, 'Roster &amp; Roles'!A:C, 3, FALSE), "Unassigned"), H7)</f>
        <v>0</v>
      </c>
    </row>
    <row r="8" spans="1:9">
      <c r="A8" s="6" t="s">
        <v>46</v>
      </c>
      <c r="B8" s="6" t="s">
        <v>53</v>
      </c>
      <c r="C8" s="6">
        <v>90</v>
      </c>
      <c r="D8" s="7">
        <f>E7</f>
        <v>0</v>
      </c>
      <c r="E8" s="7">
        <f>D8 + (C8/1440)</f>
        <v>0</v>
      </c>
      <c r="F8" s="2" t="s">
        <v>54</v>
      </c>
      <c r="G8" s="8" t="s">
        <v>10</v>
      </c>
      <c r="H8" s="6"/>
      <c r="I8" s="6">
        <f>IF(H8="", IFERROR(VLOOKUP(G8, 'Roster &amp; Roles'!A:C, 3, FALSE), "Unassigned"), H8)</f>
        <v>0</v>
      </c>
    </row>
    <row r="9" spans="1:9">
      <c r="A9" s="6" t="s">
        <v>46</v>
      </c>
      <c r="B9" s="6" t="s">
        <v>55</v>
      </c>
      <c r="C9" s="6">
        <v>60</v>
      </c>
      <c r="D9" s="7">
        <f>E8</f>
        <v>0</v>
      </c>
      <c r="E9" s="7">
        <f>D9 + (C9/1440)</f>
        <v>0</v>
      </c>
      <c r="F9" s="2" t="s">
        <v>56</v>
      </c>
      <c r="G9" s="8" t="s">
        <v>25</v>
      </c>
      <c r="H9" s="6"/>
      <c r="I9" s="6">
        <f>IF(H9="", IFERROR(VLOOKUP(G9, 'Roster &amp; Roles'!A:C, 3, FALSE), "Unassigned"), H9)</f>
        <v>0</v>
      </c>
    </row>
    <row r="10" spans="1:9">
      <c r="A10" s="6" t="s">
        <v>46</v>
      </c>
      <c r="B10" s="6" t="s">
        <v>57</v>
      </c>
      <c r="C10" s="6">
        <v>30</v>
      </c>
      <c r="D10" s="7">
        <f>E9</f>
        <v>0</v>
      </c>
      <c r="E10" s="7">
        <f>D10 + (C10/1440)</f>
        <v>0</v>
      </c>
      <c r="F10" s="2" t="s">
        <v>58</v>
      </c>
      <c r="G10" s="8" t="s">
        <v>5</v>
      </c>
      <c r="H10" s="6"/>
      <c r="I10" s="6">
        <f>IF(H10="", IFERROR(VLOOKUP(G10, 'Roster &amp; Roles'!A:C, 3, FALSE), "Unassigned"), H10)</f>
        <v>0</v>
      </c>
    </row>
    <row r="11" spans="1:9">
      <c r="A11" s="6" t="s">
        <v>46</v>
      </c>
      <c r="B11" s="6" t="s">
        <v>59</v>
      </c>
      <c r="C11" s="6">
        <v>60</v>
      </c>
      <c r="D11" s="7">
        <f>E10</f>
        <v>0</v>
      </c>
      <c r="E11" s="7">
        <f>D11 + (C11/1440)</f>
        <v>0</v>
      </c>
      <c r="F11" s="2" t="s">
        <v>60</v>
      </c>
      <c r="G11" s="8" t="s">
        <v>15</v>
      </c>
      <c r="H11" s="6"/>
      <c r="I11" s="6">
        <f>IF(H11="", IFERROR(VLOOKUP(G11, 'Roster &amp; Roles'!A:C, 3, FALSE), "Unassigned"), H11)</f>
        <v>0</v>
      </c>
    </row>
    <row r="12" spans="1:9">
      <c r="A12" s="6" t="s">
        <v>46</v>
      </c>
      <c r="B12" s="6" t="s">
        <v>61</v>
      </c>
      <c r="C12" s="6">
        <v>60</v>
      </c>
      <c r="D12" s="7">
        <f>E11</f>
        <v>0</v>
      </c>
      <c r="E12" s="7">
        <f>D12 + (C12/1440)</f>
        <v>0</v>
      </c>
      <c r="F12" s="2" t="s">
        <v>62</v>
      </c>
      <c r="G12" s="8" t="s">
        <v>5</v>
      </c>
      <c r="H12" s="6"/>
      <c r="I12" s="6">
        <f>IF(H12="", IFERROR(VLOOKUP(G12, 'Roster &amp; Roles'!A:C, 3, FALSE), "Unassigned"), H12)</f>
        <v>0</v>
      </c>
    </row>
    <row r="13" spans="1:9">
      <c r="A13" s="6" t="s">
        <v>46</v>
      </c>
      <c r="B13" s="6" t="s">
        <v>63</v>
      </c>
      <c r="C13" s="6">
        <v>0</v>
      </c>
      <c r="D13" s="7">
        <f>E12</f>
        <v>0</v>
      </c>
      <c r="E13" s="7">
        <f>D13 + (C13/1440)</f>
        <v>0</v>
      </c>
      <c r="F13" s="2" t="s">
        <v>64</v>
      </c>
      <c r="G13" s="8" t="s">
        <v>5</v>
      </c>
      <c r="H13" s="6"/>
      <c r="I13" s="6">
        <f>IF(H13="", IFERROR(VLOOKUP(G13, 'Roster &amp; Roles'!A:C, 3, FALSE), "Unassigned"), H13)</f>
        <v>0</v>
      </c>
    </row>
    <row r="14" spans="1:9">
      <c r="A14" s="6" t="s">
        <v>65</v>
      </c>
      <c r="B14" s="6" t="s">
        <v>66</v>
      </c>
      <c r="C14" s="6">
        <v>45</v>
      </c>
      <c r="D14" s="7">
        <f>E13</f>
        <v>0</v>
      </c>
      <c r="E14" s="7">
        <f>D14 + (C14/1440)</f>
        <v>0</v>
      </c>
      <c r="F14" s="2" t="s">
        <v>67</v>
      </c>
      <c r="G14" s="8" t="s">
        <v>10</v>
      </c>
      <c r="H14" s="6"/>
      <c r="I14" s="6">
        <f>IF(H14="", IFERROR(VLOOKUP(G14, 'Roster &amp; Roles'!A:C, 3, FALSE), "Unassigned"), H14)</f>
        <v>0</v>
      </c>
    </row>
    <row r="15" spans="1:9">
      <c r="A15" s="6" t="s">
        <v>65</v>
      </c>
      <c r="B15" s="6" t="s">
        <v>68</v>
      </c>
      <c r="C15" s="6">
        <v>90</v>
      </c>
      <c r="D15" s="7">
        <f>E14</f>
        <v>0</v>
      </c>
      <c r="E15" s="7">
        <f>D15 + (C15/1440)</f>
        <v>0</v>
      </c>
      <c r="F15" s="2" t="s">
        <v>69</v>
      </c>
      <c r="G15" s="8" t="s">
        <v>15</v>
      </c>
      <c r="H15" s="6"/>
      <c r="I15" s="6">
        <f>IF(H15="", IFERROR(VLOOKUP(G15, 'Roster &amp; Roles'!A:C, 3, FALSE), "Unassigned"), H15)</f>
        <v>0</v>
      </c>
    </row>
    <row r="16" spans="1:9">
      <c r="A16" s="6" t="s">
        <v>65</v>
      </c>
      <c r="B16" s="6" t="s">
        <v>70</v>
      </c>
      <c r="C16" s="6">
        <v>15</v>
      </c>
      <c r="D16" s="7">
        <f>E15</f>
        <v>0</v>
      </c>
      <c r="E16" s="7">
        <f>D16 + (C16/1440)</f>
        <v>0</v>
      </c>
      <c r="F16" s="2" t="s">
        <v>71</v>
      </c>
      <c r="G16" s="8" t="s">
        <v>5</v>
      </c>
      <c r="H16" s="6"/>
      <c r="I16" s="6">
        <f>IF(H16="", IFERROR(VLOOKUP(G16, 'Roster &amp; Roles'!A:C, 3, FALSE), "Unassigned"), H16)</f>
        <v>0</v>
      </c>
    </row>
    <row r="17" spans="1:9">
      <c r="A17" s="6" t="s">
        <v>65</v>
      </c>
      <c r="B17" s="6" t="s">
        <v>72</v>
      </c>
      <c r="C17" s="6">
        <v>60</v>
      </c>
      <c r="D17" s="7">
        <f>E16</f>
        <v>0</v>
      </c>
      <c r="E17" s="7">
        <f>D17 + (C17/1440)</f>
        <v>0</v>
      </c>
      <c r="F17" s="2" t="s">
        <v>72</v>
      </c>
      <c r="G17" s="8" t="s">
        <v>25</v>
      </c>
      <c r="H17" s="6"/>
      <c r="I17" s="6">
        <f>IF(H17="", IFERROR(VLOOKUP(G17, 'Roster &amp; Roles'!A:C, 3, FALSE), "Unassigned"), H17)</f>
        <v>0</v>
      </c>
    </row>
    <row r="18" spans="1:9">
      <c r="A18" s="6" t="s">
        <v>65</v>
      </c>
      <c r="B18" s="6" t="s">
        <v>73</v>
      </c>
      <c r="C18" s="6">
        <v>60</v>
      </c>
      <c r="D18" s="7">
        <f>E17</f>
        <v>0</v>
      </c>
      <c r="E18" s="7">
        <f>D18 + (C18/1440)</f>
        <v>0</v>
      </c>
      <c r="F18" s="2" t="s">
        <v>74</v>
      </c>
      <c r="G18" s="8" t="s">
        <v>15</v>
      </c>
      <c r="H18" s="6"/>
      <c r="I18" s="6">
        <f>IF(H18="", IFERROR(VLOOKUP(G18, 'Roster &amp; Roles'!A:C, 3, FALSE), "Unassigned"), H18)</f>
        <v>0</v>
      </c>
    </row>
    <row r="19" spans="1:9">
      <c r="A19" s="6" t="s">
        <v>65</v>
      </c>
      <c r="B19" s="6" t="s">
        <v>75</v>
      </c>
      <c r="C19" s="6">
        <v>15</v>
      </c>
      <c r="D19" s="7">
        <f>E18</f>
        <v>0</v>
      </c>
      <c r="E19" s="7">
        <f>D19 + (C19/1440)</f>
        <v>0</v>
      </c>
      <c r="F19" s="2" t="s">
        <v>76</v>
      </c>
      <c r="G19" s="8" t="s">
        <v>5</v>
      </c>
      <c r="H19" s="6"/>
      <c r="I19" s="6">
        <f>IF(H19="", IFERROR(VLOOKUP(G19, 'Roster &amp; Roles'!A:C, 3, FALSE), "Unassigned"), H19)</f>
        <v>0</v>
      </c>
    </row>
    <row r="20" spans="1:9">
      <c r="A20" s="6" t="s">
        <v>65</v>
      </c>
      <c r="B20" s="6" t="s">
        <v>77</v>
      </c>
      <c r="C20" s="6">
        <v>60</v>
      </c>
      <c r="D20" s="7">
        <f>E19</f>
        <v>0</v>
      </c>
      <c r="E20" s="7">
        <f>D20 + (C20/1440)</f>
        <v>0</v>
      </c>
      <c r="F20" s="2" t="s">
        <v>78</v>
      </c>
      <c r="G20" s="8" t="s">
        <v>10</v>
      </c>
      <c r="H20" s="6"/>
      <c r="I20" s="6">
        <f>IF(H20="", IFERROR(VLOOKUP(G20, 'Roster &amp; Roles'!A:C, 3, FALSE), "Unassigned"), H20)</f>
        <v>0</v>
      </c>
    </row>
    <row r="21" spans="1:9">
      <c r="A21" s="6" t="s">
        <v>65</v>
      </c>
      <c r="B21" s="6" t="s">
        <v>51</v>
      </c>
      <c r="C21" s="6">
        <v>45</v>
      </c>
      <c r="D21" s="7">
        <f>E20</f>
        <v>0</v>
      </c>
      <c r="E21" s="7">
        <f>D21 + (C21/1440)</f>
        <v>0</v>
      </c>
      <c r="F21" s="2" t="s">
        <v>79</v>
      </c>
      <c r="G21" s="8" t="s">
        <v>21</v>
      </c>
      <c r="H21" s="6"/>
      <c r="I21" s="6">
        <f>IF(H21="", IFERROR(VLOOKUP(G21, 'Roster &amp; Roles'!A:C, 3, FALSE), "Unassigned"), H21)</f>
        <v>0</v>
      </c>
    </row>
    <row r="22" spans="1:9">
      <c r="A22" s="6" t="s">
        <v>65</v>
      </c>
      <c r="B22" s="6" t="s">
        <v>80</v>
      </c>
      <c r="C22" s="6">
        <v>0</v>
      </c>
      <c r="D22" s="7">
        <f>E21</f>
        <v>0</v>
      </c>
      <c r="E22" s="7">
        <f>D22 + (C22/1440)</f>
        <v>0</v>
      </c>
      <c r="F22" s="2" t="s">
        <v>81</v>
      </c>
      <c r="G22" s="8" t="s">
        <v>18</v>
      </c>
      <c r="H22" s="6"/>
      <c r="I22" s="6">
        <f>IF(H22="", IFERROR(VLOOKUP(G22, 'Roster &amp; Roles'!A:C, 3, FALSE), "Unassigned"), H22)</f>
        <v>0</v>
      </c>
    </row>
  </sheetData>
  <dataValidations count="18">
    <dataValidation type="list" allowBlank="1" showInputMessage="1" promptTitle="Override Assignment" prompt="Select a leader from the dropdown to override the default role." sqref="H5">
      <formula1>'Roster &amp; Roles'!$C$2:$C$20</formula1>
    </dataValidation>
    <dataValidation type="list" allowBlank="1" showInputMessage="1" promptTitle="Override Assignment" prompt="Select a leader from the dropdown to override the default role." sqref="H6">
      <formula1>'Roster &amp; Roles'!$C$2:$C$20</formula1>
    </dataValidation>
    <dataValidation type="list" allowBlank="1" showInputMessage="1" promptTitle="Override Assignment" prompt="Select a leader from the dropdown to override the default role." sqref="H7">
      <formula1>'Roster &amp; Roles'!$C$2:$C$20</formula1>
    </dataValidation>
    <dataValidation type="list" allowBlank="1" showInputMessage="1" promptTitle="Override Assignment" prompt="Select a leader from the dropdown to override the default role." sqref="H8">
      <formula1>'Roster &amp; Roles'!$C$2:$C$20</formula1>
    </dataValidation>
    <dataValidation type="list" allowBlank="1" showInputMessage="1" promptTitle="Override Assignment" prompt="Select a leader from the dropdown to override the default role." sqref="H9">
      <formula1>'Roster &amp; Roles'!$C$2:$C$20</formula1>
    </dataValidation>
    <dataValidation type="list" allowBlank="1" showInputMessage="1" promptTitle="Override Assignment" prompt="Select a leader from the dropdown to override the default role." sqref="H10">
      <formula1>'Roster &amp; Roles'!$C$2:$C$20</formula1>
    </dataValidation>
    <dataValidation type="list" allowBlank="1" showInputMessage="1" promptTitle="Override Assignment" prompt="Select a leader from the dropdown to override the default role." sqref="H11">
      <formula1>'Roster &amp; Roles'!$C$2:$C$20</formula1>
    </dataValidation>
    <dataValidation type="list" allowBlank="1" showInputMessage="1" promptTitle="Override Assignment" prompt="Select a leader from the dropdown to override the default role." sqref="H12">
      <formula1>'Roster &amp; Roles'!$C$2:$C$20</formula1>
    </dataValidation>
    <dataValidation type="list" allowBlank="1" showInputMessage="1" promptTitle="Override Assignment" prompt="Select a leader from the dropdown to override the default role." sqref="H13">
      <formula1>'Roster &amp; Roles'!$C$2:$C$20</formula1>
    </dataValidation>
    <dataValidation type="list" allowBlank="1" showInputMessage="1" promptTitle="Override Assignment" prompt="Select a leader from the dropdown to override the default role." sqref="H14">
      <formula1>'Roster &amp; Roles'!$C$2:$C$20</formula1>
    </dataValidation>
    <dataValidation type="list" allowBlank="1" showInputMessage="1" promptTitle="Override Assignment" prompt="Select a leader from the dropdown to override the default role." sqref="H15">
      <formula1>'Roster &amp; Roles'!$C$2:$C$20</formula1>
    </dataValidation>
    <dataValidation type="list" allowBlank="1" showInputMessage="1" promptTitle="Override Assignment" prompt="Select a leader from the dropdown to override the default role." sqref="H16">
      <formula1>'Roster &amp; Roles'!$C$2:$C$20</formula1>
    </dataValidation>
    <dataValidation type="list" allowBlank="1" showInputMessage="1" promptTitle="Override Assignment" prompt="Select a leader from the dropdown to override the default role." sqref="H17">
      <formula1>'Roster &amp; Roles'!$C$2:$C$20</formula1>
    </dataValidation>
    <dataValidation type="list" allowBlank="1" showInputMessage="1" promptTitle="Override Assignment" prompt="Select a leader from the dropdown to override the default role." sqref="H18">
      <formula1>'Roster &amp; Roles'!$C$2:$C$20</formula1>
    </dataValidation>
    <dataValidation type="list" allowBlank="1" showInputMessage="1" promptTitle="Override Assignment" prompt="Select a leader from the dropdown to override the default role." sqref="H19">
      <formula1>'Roster &amp; Roles'!$C$2:$C$20</formula1>
    </dataValidation>
    <dataValidation type="list" allowBlank="1" showInputMessage="1" promptTitle="Override Assignment" prompt="Select a leader from the dropdown to override the default role." sqref="H20">
      <formula1>'Roster &amp; Roles'!$C$2:$C$20</formula1>
    </dataValidation>
    <dataValidation type="list" allowBlank="1" showInputMessage="1" promptTitle="Override Assignment" prompt="Select a leader from the dropdown to override the default role." sqref="H21">
      <formula1>'Roster &amp; Roles'!$C$2:$C$20</formula1>
    </dataValidation>
    <dataValidation type="list" allowBlank="1" showInputMessage="1" promptTitle="Override Assignment" prompt="Select a leader from the dropdown to override the default role." sqref="H22">
      <formula1>'Roster &amp; Roles'!$C$2:$C$20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2" width="25.7109375" customWidth="1"/>
    <col min="3" max="3" width="10.7109375" customWidth="1"/>
    <col min="4" max="4" width="20.7109375" customWidth="1"/>
    <col min="5" max="5" width="25.7109375" customWidth="1"/>
    <col min="6" max="6" width="20.7109375" customWidth="1"/>
    <col min="7" max="7" width="15.7109375" customWidth="1"/>
  </cols>
  <sheetData>
    <row r="1" spans="1:7">
      <c r="A1" s="1" t="s">
        <v>82</v>
      </c>
      <c r="B1" s="1" t="s">
        <v>83</v>
      </c>
      <c r="C1" s="1" t="s">
        <v>84</v>
      </c>
      <c r="D1" s="1" t="s">
        <v>43</v>
      </c>
      <c r="E1" s="1" t="s">
        <v>85</v>
      </c>
      <c r="F1" s="1" t="s">
        <v>86</v>
      </c>
      <c r="G1" s="1" t="s">
        <v>87</v>
      </c>
    </row>
    <row r="2" spans="1:7">
      <c r="A2" s="6" t="s">
        <v>53</v>
      </c>
      <c r="B2" s="6" t="s">
        <v>88</v>
      </c>
      <c r="C2" s="6" t="s">
        <v>89</v>
      </c>
      <c r="D2" s="8" t="s">
        <v>10</v>
      </c>
      <c r="E2" s="6"/>
      <c r="F2" s="6">
        <f>IF(E2="", IFERROR(VLOOKUP(D2, 'Roster &amp; Roles'!A:C, 3, FALSE), "Unassigned"), E2)</f>
        <v>0</v>
      </c>
      <c r="G2" s="6" t="s">
        <v>90</v>
      </c>
    </row>
    <row r="3" spans="1:7">
      <c r="A3" s="6" t="s">
        <v>53</v>
      </c>
      <c r="B3" s="6" t="s">
        <v>91</v>
      </c>
      <c r="C3" s="6" t="s">
        <v>92</v>
      </c>
      <c r="D3" s="8" t="s">
        <v>10</v>
      </c>
      <c r="E3" s="6"/>
      <c r="F3" s="6">
        <f>IF(E3="", IFERROR(VLOOKUP(D3, 'Roster &amp; Roles'!A:C, 3, FALSE), "Unassigned"), E3)</f>
        <v>0</v>
      </c>
      <c r="G3" s="6" t="s">
        <v>90</v>
      </c>
    </row>
    <row r="4" spans="1:7">
      <c r="A4" s="6" t="s">
        <v>93</v>
      </c>
      <c r="B4" s="6" t="s">
        <v>94</v>
      </c>
      <c r="C4" s="6" t="s">
        <v>95</v>
      </c>
      <c r="D4" s="8" t="s">
        <v>25</v>
      </c>
      <c r="E4" s="6"/>
      <c r="F4" s="6">
        <f>IF(E4="", IFERROR(VLOOKUP(D4, 'Roster &amp; Roles'!A:C, 3, FALSE), "Unassigned"), E4)</f>
        <v>0</v>
      </c>
      <c r="G4" s="6" t="s">
        <v>90</v>
      </c>
    </row>
    <row r="5" spans="1:7">
      <c r="A5" s="6" t="s">
        <v>93</v>
      </c>
      <c r="B5" s="6" t="s">
        <v>96</v>
      </c>
      <c r="C5" s="6" t="s">
        <v>97</v>
      </c>
      <c r="D5" s="8" t="s">
        <v>25</v>
      </c>
      <c r="E5" s="6"/>
      <c r="F5" s="6">
        <f>IF(E5="", IFERROR(VLOOKUP(D5, 'Roster &amp; Roles'!A:C, 3, FALSE), "Unassigned"), E5)</f>
        <v>0</v>
      </c>
      <c r="G5" s="6" t="s">
        <v>90</v>
      </c>
    </row>
    <row r="6" spans="1:7">
      <c r="A6" s="6" t="s">
        <v>98</v>
      </c>
      <c r="B6" s="6" t="s">
        <v>99</v>
      </c>
      <c r="C6" s="6" t="s">
        <v>100</v>
      </c>
      <c r="D6" s="8" t="s">
        <v>15</v>
      </c>
      <c r="E6" s="6"/>
      <c r="F6" s="6">
        <f>IF(E6="", IFERROR(VLOOKUP(D6, 'Roster &amp; Roles'!A:C, 3, FALSE), "Unassigned"), E6)</f>
        <v>0</v>
      </c>
      <c r="G6" s="6" t="s">
        <v>90</v>
      </c>
    </row>
    <row r="7" spans="1:7">
      <c r="A7" s="6" t="s">
        <v>98</v>
      </c>
      <c r="B7" s="6" t="s">
        <v>101</v>
      </c>
      <c r="C7" s="6" t="s">
        <v>102</v>
      </c>
      <c r="D7" s="8" t="s">
        <v>10</v>
      </c>
      <c r="E7" s="6"/>
      <c r="F7" s="6">
        <f>IF(E7="", IFERROR(VLOOKUP(D7, 'Roster &amp; Roles'!A:C, 3, FALSE), "Unassigned"), E7)</f>
        <v>0</v>
      </c>
      <c r="G7" s="6" t="s">
        <v>90</v>
      </c>
    </row>
    <row r="8" spans="1:7">
      <c r="A8" s="6" t="s">
        <v>98</v>
      </c>
      <c r="B8" s="6" t="s">
        <v>103</v>
      </c>
      <c r="C8" s="6" t="s">
        <v>89</v>
      </c>
      <c r="D8" s="8" t="s">
        <v>21</v>
      </c>
      <c r="E8" s="6"/>
      <c r="F8" s="6">
        <f>IF(E8="", IFERROR(VLOOKUP(D8, 'Roster &amp; Roles'!A:C, 3, FALSE), "Unassigned"), E8)</f>
        <v>0</v>
      </c>
      <c r="G8" s="6" t="s">
        <v>90</v>
      </c>
    </row>
    <row r="9" spans="1:7">
      <c r="A9" s="6" t="s">
        <v>98</v>
      </c>
      <c r="B9" s="6" t="s">
        <v>104</v>
      </c>
      <c r="C9" s="6" t="s">
        <v>105</v>
      </c>
      <c r="D9" s="8" t="s">
        <v>15</v>
      </c>
      <c r="E9" s="6"/>
      <c r="F9" s="6">
        <f>IF(E9="", IFERROR(VLOOKUP(D9, 'Roster &amp; Roles'!A:C, 3, FALSE), "Unassigned"), E9)</f>
        <v>0</v>
      </c>
      <c r="G9" s="6" t="s">
        <v>90</v>
      </c>
    </row>
    <row r="10" spans="1:7">
      <c r="A10" s="6" t="s">
        <v>106</v>
      </c>
      <c r="B10" s="6" t="s">
        <v>107</v>
      </c>
      <c r="C10" s="6" t="s">
        <v>102</v>
      </c>
      <c r="D10" s="8" t="s">
        <v>18</v>
      </c>
      <c r="E10" s="6"/>
      <c r="F10" s="6">
        <f>IF(E10="", IFERROR(VLOOKUP(D10, 'Roster &amp; Roles'!A:C, 3, FALSE), "Unassigned"), E10)</f>
        <v>0</v>
      </c>
      <c r="G10" s="6" t="s">
        <v>90</v>
      </c>
    </row>
    <row r="11" spans="1:7">
      <c r="A11" s="6" t="s">
        <v>108</v>
      </c>
      <c r="B11" s="6" t="s">
        <v>109</v>
      </c>
      <c r="C11" s="6" t="s">
        <v>89</v>
      </c>
      <c r="D11" s="8" t="s">
        <v>5</v>
      </c>
      <c r="E11" s="6"/>
      <c r="F11" s="6">
        <f>IF(E11="", IFERROR(VLOOKUP(D11, 'Roster &amp; Roles'!A:C, 3, FALSE), "Unassigned"), E11)</f>
        <v>0</v>
      </c>
      <c r="G11" s="6" t="s">
        <v>90</v>
      </c>
    </row>
  </sheetData>
  <dataValidations count="20">
    <dataValidation type="list" allowBlank="1" showInputMessage="1" sqref="E2">
      <formula1>'Roster &amp; Roles'!$C$2:$C$20</formula1>
    </dataValidation>
    <dataValidation type="list" allowBlank="1" showInputMessage="1" showErrorMessage="1" sqref="G2">
      <formula1>"Pending,Packed,Done"</formula1>
    </dataValidation>
    <dataValidation type="list" allowBlank="1" showInputMessage="1" sqref="E3">
      <formula1>'Roster &amp; Roles'!$C$2:$C$20</formula1>
    </dataValidation>
    <dataValidation type="list" allowBlank="1" showInputMessage="1" showErrorMessage="1" sqref="G3">
      <formula1>"Pending,Packed,Done"</formula1>
    </dataValidation>
    <dataValidation type="list" allowBlank="1" showInputMessage="1" sqref="E4">
      <formula1>'Roster &amp; Roles'!$C$2:$C$20</formula1>
    </dataValidation>
    <dataValidation type="list" allowBlank="1" showInputMessage="1" showErrorMessage="1" sqref="G4">
      <formula1>"Pending,Packed,Done"</formula1>
    </dataValidation>
    <dataValidation type="list" allowBlank="1" showInputMessage="1" sqref="E5">
      <formula1>'Roster &amp; Roles'!$C$2:$C$20</formula1>
    </dataValidation>
    <dataValidation type="list" allowBlank="1" showInputMessage="1" showErrorMessage="1" sqref="G5">
      <formula1>"Pending,Packed,Done"</formula1>
    </dataValidation>
    <dataValidation type="list" allowBlank="1" showInputMessage="1" sqref="E6">
      <formula1>'Roster &amp; Roles'!$C$2:$C$20</formula1>
    </dataValidation>
    <dataValidation type="list" allowBlank="1" showInputMessage="1" showErrorMessage="1" sqref="G6">
      <formula1>"Pending,Packed,Done"</formula1>
    </dataValidation>
    <dataValidation type="list" allowBlank="1" showInputMessage="1" sqref="E7">
      <formula1>'Roster &amp; Roles'!$C$2:$C$20</formula1>
    </dataValidation>
    <dataValidation type="list" allowBlank="1" showInputMessage="1" showErrorMessage="1" sqref="G7">
      <formula1>"Pending,Packed,Done"</formula1>
    </dataValidation>
    <dataValidation type="list" allowBlank="1" showInputMessage="1" sqref="E8">
      <formula1>'Roster &amp; Roles'!$C$2:$C$20</formula1>
    </dataValidation>
    <dataValidation type="list" allowBlank="1" showInputMessage="1" showErrorMessage="1" sqref="G8">
      <formula1>"Pending,Packed,Done"</formula1>
    </dataValidation>
    <dataValidation type="list" allowBlank="1" showInputMessage="1" sqref="E9">
      <formula1>'Roster &amp; Roles'!$C$2:$C$20</formula1>
    </dataValidation>
    <dataValidation type="list" allowBlank="1" showInputMessage="1" showErrorMessage="1" sqref="G9">
      <formula1>"Pending,Packed,Done"</formula1>
    </dataValidation>
    <dataValidation type="list" allowBlank="1" showInputMessage="1" sqref="E10">
      <formula1>'Roster &amp; Roles'!$C$2:$C$20</formula1>
    </dataValidation>
    <dataValidation type="list" allowBlank="1" showInputMessage="1" showErrorMessage="1" sqref="G10">
      <formula1>"Pending,Packed,Done"</formula1>
    </dataValidation>
    <dataValidation type="list" allowBlank="1" showInputMessage="1" sqref="E11">
      <formula1>'Roster &amp; Roles'!$C$2:$C$20</formula1>
    </dataValidation>
    <dataValidation type="list" allowBlank="1" showInputMessage="1" showErrorMessage="1" sqref="G11">
      <formula1>"Pending,Packed,Done"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 &amp; Roles</vt:lpstr>
      <vt:lpstr>Dynamic Run Sheet</vt:lpstr>
      <vt:lpstr>Equipment &amp; 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2026-07-21T20:08:20Z</dcterms:created>
  <dcterms:modified xsi:type="dcterms:W3CDTF">2026-07-21T20:08:20Z</dcterms:modified>
</cp:coreProperties>
</file>
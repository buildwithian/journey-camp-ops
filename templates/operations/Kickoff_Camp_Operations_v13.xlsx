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1. Settings &amp; Leaders" sheetId="1" r:id="rId1"/>
    <sheet name="2. Roster &amp; Roles" sheetId="2" r:id="rId2"/>
    <sheet name="3. Detailed Timetable" sheetId="3" r:id="rId3"/>
    <sheet name="4. Visual Schedule" sheetId="4" r:id="rId4"/>
    <sheet name="5. Pre-Camp Tasks" sheetId="5" r:id="rId5"/>
    <sheet name="6. Camp Equipment" sheetId="6" r:id="rId6"/>
    <sheet name="7. Activity Equipment" sheetId="7" r:id="rId7"/>
    <sheet name="8. Food Shopping" sheetId="8" r:id="rId8"/>
    <sheet name="9. Activity Playbook" sheetId="9" r:id="rId9"/>
  </sheets>
  <calcPr calcId="124519" fullCalcOnLoad="1"/>
</workbook>
</file>

<file path=xl/sharedStrings.xml><?xml version="1.0" encoding="utf-8"?>
<sst xmlns="http://schemas.openxmlformats.org/spreadsheetml/2006/main" count="502" uniqueCount="247">
  <si>
    <t>⚙  Camp Settings &amp; Leader Input</t>
  </si>
  <si>
    <t>Enter your camp attendance numbers and the master list of available leaders below.</t>
  </si>
  <si>
    <t xml:space="preserve">  CAMP ATTENDANCE</t>
  </si>
  <si>
    <t>Number of Dads</t>
  </si>
  <si>
    <t>Number of Daughters</t>
  </si>
  <si>
    <t>Helpers / Leaders</t>
  </si>
  <si>
    <t>TOTAL PARTICIPANTS</t>
  </si>
  <si>
    <t xml:space="preserve">  AVAILABLE LEADERS DIRECTORY</t>
  </si>
  <si>
    <t>#</t>
  </si>
  <si>
    <t>Name</t>
  </si>
  <si>
    <t>Contact Number</t>
  </si>
  <si>
    <t>Ian Sinclair</t>
  </si>
  <si>
    <t>+27 63 893 9452</t>
  </si>
  <si>
    <t>Neil Harrower</t>
  </si>
  <si>
    <t>+27 71 950 8363</t>
  </si>
  <si>
    <t>Marvin Welby-Solomon</t>
  </si>
  <si>
    <t>Kingsley Williams</t>
  </si>
  <si>
    <t>+27 83 260 5311</t>
  </si>
  <si>
    <t>Kevin de Wet</t>
  </si>
  <si>
    <t>+27 82 908 2460</t>
  </si>
  <si>
    <t>Paul Barter</t>
  </si>
  <si>
    <t>Raldo Kruger</t>
  </si>
  <si>
    <t>+27 84 511 8606</t>
  </si>
  <si>
    <t>Gavin Graham</t>
  </si>
  <si>
    <t>Richard Walker</t>
  </si>
  <si>
    <t>Leader A (Youth)</t>
  </si>
  <si>
    <t>Leader B (Youth)</t>
  </si>
  <si>
    <t>👥  Roles &amp; Volunteer Roster</t>
  </si>
  <si>
    <t>Assign leaders from the Settings tab to each camp role. Contact info auto-fills.</t>
  </si>
  <si>
    <t xml:space="preserve">  ROLE ASSIGNMENTS</t>
  </si>
  <si>
    <t>Role Title</t>
  </si>
  <si>
    <t>Description &amp; Default Duties</t>
  </si>
  <si>
    <t>Assigned Leader</t>
  </si>
  <si>
    <t>Auto-Filled Contact</t>
  </si>
  <si>
    <t>Oversight Lead</t>
  </si>
  <si>
    <t>• Ultimate decision-making authority during the camp.
• Handles live issues (emergencies, weather changes).
• Leads high-level reflections and debriefs.</t>
  </si>
  <si>
    <t>Logistics Lead</t>
  </si>
  <si>
    <t>• Manages all physical setup and breakdown.
• Coordinates camp layout, tents/bivvies, fire preparation.</t>
  </si>
  <si>
    <t>Session Coordinator</t>
  </si>
  <si>
    <t>• Facilitates the core structured spiritual/emotional sessions (e.g., Malachi discussion).</t>
  </si>
  <si>
    <t>Activity Facilitator</t>
  </si>
  <si>
    <t>• Brings high energy to run the games and challenges (Clay Latte, Tug of War, Name Games).</t>
  </si>
  <si>
    <t>Catering / Fire Lead</t>
  </si>
  <si>
    <t>• For the kick-off camp, dinner and breakfast are brought by each father-daughter pair.
• The key role is to ensure the communal fires are lit on time and properly maintained.</t>
  </si>
  <si>
    <t>Administration</t>
  </si>
  <si>
    <t>• Handles all paperwork, nametags, RSVPs, and gate-keeping.</t>
  </si>
  <si>
    <t>Youth Track Leader 1</t>
  </si>
  <si>
    <t>• Supports youth-specific activities and engagement during free time.</t>
  </si>
  <si>
    <t>Youth Track Leader 2</t>
  </si>
  <si>
    <t>General Helper 1</t>
  </si>
  <si>
    <t>• Assists the Logistics and Catering leads where extra hands are needed.</t>
  </si>
  <si>
    <t>General Helper 2</t>
  </si>
  <si>
    <t>• Assists the Activity Facilitator and Session Coordinator.</t>
  </si>
  <si>
    <t>Communion Sub-Leader</t>
  </si>
  <si>
    <t>• Sub-task role to run and administer the communion elements on Sunday morning.</t>
  </si>
  <si>
    <t>📋  Detailed Run Sheet</t>
  </si>
  <si>
    <t>Change the start time below. All times cascade automatically. Override any cell by typing directly.</t>
  </si>
  <si>
    <t>Camp Start Time ▸</t>
  </si>
  <si>
    <t>Day</t>
  </si>
  <si>
    <t>Start</t>
  </si>
  <si>
    <t>End</t>
  </si>
  <si>
    <t>Duration</t>
  </si>
  <si>
    <t>Activity</t>
  </si>
  <si>
    <t>Description</t>
  </si>
  <si>
    <t>Assigned Role</t>
  </si>
  <si>
    <t>Phase</t>
  </si>
  <si>
    <t>Saturday</t>
  </si>
  <si>
    <t>Arrival</t>
  </si>
  <si>
    <t>Arrive at camp, name tags, get to know contacts</t>
  </si>
  <si>
    <t>Ice Breaker</t>
  </si>
  <si>
    <t>Get to know each other (Daughters introduce Fathers, name game)</t>
  </si>
  <si>
    <t>Clay Latte</t>
  </si>
  <si>
    <t>Father-daughter activities (Clay Latte) &amp; Dam swim</t>
  </si>
  <si>
    <t>Camp Setup</t>
  </si>
  <si>
    <t>Set-up shelters, bivvy equipment, prepare fire</t>
  </si>
  <si>
    <t>Setup</t>
  </si>
  <si>
    <t>Dinner Prep</t>
  </si>
  <si>
    <t>Ensure the fire is started on time with enough coals for families to cook.</t>
  </si>
  <si>
    <t>Dinner</t>
  </si>
  <si>
    <t>Dads and daughters cook and have supper together</t>
  </si>
  <si>
    <t>Stokbrood</t>
  </si>
  <si>
    <t>Marshmallows and stokbrood at fire, chat about question cards</t>
  </si>
  <si>
    <t>Evening</t>
  </si>
  <si>
    <t>Skits &amp; Debrief</t>
  </si>
  <si>
    <t>Present skits and carving, end of evening debrief</t>
  </si>
  <si>
    <t>Wind Down</t>
  </si>
  <si>
    <t>Bed Time</t>
  </si>
  <si>
    <t>Lights out</t>
  </si>
  <si>
    <t>Lights Out</t>
  </si>
  <si>
    <t>Sunday</t>
  </si>
  <si>
    <t>Wake Up</t>
  </si>
  <si>
    <t>Wake up, dam swim, boil kettles, coffee</t>
  </si>
  <si>
    <t>Morning</t>
  </si>
  <si>
    <t>Malachi</t>
  </si>
  <si>
    <t>Malachi discussion (sand demo) and scripture video</t>
  </si>
  <si>
    <t>Session 1</t>
  </si>
  <si>
    <t>Communion</t>
  </si>
  <si>
    <t>Administer communion elements</t>
  </si>
  <si>
    <t>Quiet Time</t>
  </si>
  <si>
    <t>Father-daughter quiet time (reflect on Malachi)</t>
  </si>
  <si>
    <t>Session 2</t>
  </si>
  <si>
    <t>Breakfast</t>
  </si>
  <si>
    <t>Fire ready, boiling water. Families prepare own breakfast.</t>
  </si>
  <si>
    <t>Manhood Talk</t>
  </si>
  <si>
    <t>Dad's talk and daughters talk split</t>
  </si>
  <si>
    <t>Session 3</t>
  </si>
  <si>
    <t>Final Debrief</t>
  </si>
  <si>
    <t>Reflection on the sleepover, present carving</t>
  </si>
  <si>
    <t>Debrief</t>
  </si>
  <si>
    <t>Pack Up</t>
  </si>
  <si>
    <t>Pack up camp</t>
  </si>
  <si>
    <t>Tug of War</t>
  </si>
  <si>
    <t>Father-daughter activity (Tug of war, Swim)</t>
  </si>
  <si>
    <t>Departure</t>
  </si>
  <si>
    <t>Depart from camp</t>
  </si>
  <si>
    <t>🗓  Visual Camp Schedule</t>
  </si>
  <si>
    <t>Auto-updating overview. Print this page or view on your phone for a quick reference.</t>
  </si>
  <si>
    <t>☀  SATURDAY</t>
  </si>
  <si>
    <t>🌅  SUNDAY</t>
  </si>
  <si>
    <t>✅  Pre-Camp Task Checklist</t>
  </si>
  <si>
    <t>Action items that must be completed before arrival at the camp venue.</t>
  </si>
  <si>
    <t xml:space="preserve">  PRE-PLANNING TASKS</t>
  </si>
  <si>
    <t>Category</t>
  </si>
  <si>
    <t>Task Description</t>
  </si>
  <si>
    <t>Status</t>
  </si>
  <si>
    <t>Notes</t>
  </si>
  <si>
    <t>Pre-Planning</t>
  </si>
  <si>
    <t>Finalize RSVP list and dietary requirements</t>
  </si>
  <si>
    <t>Not Started</t>
  </si>
  <si>
    <t>Review medical forms and emergency contacts</t>
  </si>
  <si>
    <t>Purchase all communal shopping list items (see Food tab)</t>
  </si>
  <si>
    <t>Print name tags and laminate father/daughter question cards</t>
  </si>
  <si>
    <t>Confirm venue access codes and agree on final camp layout</t>
  </si>
  <si>
    <t>Pack all camp equipment, tents, and activity gear</t>
  </si>
  <si>
    <t>Download YouTube Malachi scripture video to a device</t>
  </si>
  <si>
    <t>Test projector and speaker with downloaded video</t>
  </si>
  <si>
    <t>Communicate final packing list to all fathers</t>
  </si>
  <si>
    <t>Prepare communion elements (bread loaf, grape juice)</t>
  </si>
  <si>
    <t>🏕  General Camp Equipment</t>
  </si>
  <si>
    <t>Core items for camp setup. Static quantities — not attendance-dependent.</t>
  </si>
  <si>
    <t xml:space="preserve">  GENERAL EQUIPMENT CHECKLIST</t>
  </si>
  <si>
    <t>Item</t>
  </si>
  <si>
    <t>Qty</t>
  </si>
  <si>
    <t>Washing bowl</t>
  </si>
  <si>
    <t>To Buy</t>
  </si>
  <si>
    <t>Dish towel</t>
  </si>
  <si>
    <t>Dish cloth</t>
  </si>
  <si>
    <t>Dish scourers</t>
  </si>
  <si>
    <t>Dish washing liquid</t>
  </si>
  <si>
    <t>Chopping board (wooden)</t>
  </si>
  <si>
    <t>Garbage bags</t>
  </si>
  <si>
    <t>Spade</t>
  </si>
  <si>
    <t>Water Carrier</t>
  </si>
  <si>
    <t>Gas bottles</t>
  </si>
  <si>
    <t>Gas kettle (Large)</t>
  </si>
  <si>
    <t>Gas plate</t>
  </si>
  <si>
    <t>Gas kettle (small)</t>
  </si>
  <si>
    <t>Gas two-plater</t>
  </si>
  <si>
    <t>Cutlery set</t>
  </si>
  <si>
    <t>Gas fire starter (rod)</t>
  </si>
  <si>
    <t>First aid kit</t>
  </si>
  <si>
    <t>Tongs</t>
  </si>
  <si>
    <t>Bodum</t>
  </si>
  <si>
    <t>Braai grid (large)</t>
  </si>
  <si>
    <t>Journey Banner</t>
  </si>
  <si>
    <t>Fire lighter</t>
  </si>
  <si>
    <t>Camping mats</t>
  </si>
  <si>
    <t>Axe</t>
  </si>
  <si>
    <t>Mallet</t>
  </si>
  <si>
    <t>🎯  Activity-Specific Equipment</t>
  </si>
  <si>
    <t>Quantities scale dynamically from Total Participants in Tab 1.</t>
  </si>
  <si>
    <t xml:space="preserve">  ACTIVITY EQUIPMENT (DYNAMIC QUANTITIES)</t>
  </si>
  <si>
    <t>Scaling Rule</t>
  </si>
  <si>
    <t>Calc. Qty</t>
  </si>
  <si>
    <t>Linked Activity</t>
  </si>
  <si>
    <t>Prop for earth shaking</t>
  </si>
  <si>
    <t>Static</t>
  </si>
  <si>
    <t>1</t>
  </si>
  <si>
    <t>Speaker</t>
  </si>
  <si>
    <t>Projector</t>
  </si>
  <si>
    <t>Downloaded Malachi video</t>
  </si>
  <si>
    <t>Dad &amp; daughter question cards</t>
  </si>
  <si>
    <t>1 per pair</t>
  </si>
  <si>
    <t>Stokbrood sticks</t>
  </si>
  <si>
    <t>1 per person</t>
  </si>
  <si>
    <t>Tug of war rope</t>
  </si>
  <si>
    <t>Communion cups</t>
  </si>
  <si>
    <t>Claylatt</t>
  </si>
  <si>
    <t>Clay — bag</t>
  </si>
  <si>
    <t>Bivvy's (Shelter)</t>
  </si>
  <si>
    <t>Total ÷ 2</t>
  </si>
  <si>
    <t>Latte short (Shelter)</t>
  </si>
  <si>
    <t>Latte long (Shelter)</t>
  </si>
  <si>
    <t>Guy ropes (Shelter)</t>
  </si>
  <si>
    <t>2 per person</t>
  </si>
  <si>
    <t>Pegs (Shelter)</t>
  </si>
  <si>
    <t>🛒  Food &amp; Catering Shopping List</t>
  </si>
  <si>
    <t>Communal items only. Quantities auto-scale from Tab 1. Each family brings their own dinner &amp; breakfast.</t>
  </si>
  <si>
    <t xml:space="preserve">  COMMUNAL FOOD ITEMS</t>
  </si>
  <si>
    <t>Qty Needed</t>
  </si>
  <si>
    <t>Dough for stokbrood</t>
  </si>
  <si>
    <t>Coffee Instant</t>
  </si>
  <si>
    <t>Coffee Ground</t>
  </si>
  <si>
    <t>Long life milk</t>
  </si>
  <si>
    <t>Sugar</t>
  </si>
  <si>
    <t>1 kg</t>
  </si>
  <si>
    <t>Rusks</t>
  </si>
  <si>
    <t>Braai Brood (stokbrood)</t>
  </si>
  <si>
    <t>Marshmallows</t>
  </si>
  <si>
    <t>Mieliemeal</t>
  </si>
  <si>
    <t>Rooibos tea</t>
  </si>
  <si>
    <t>1 box</t>
  </si>
  <si>
    <t>Ceylon tea</t>
  </si>
  <si>
    <t>Hot chocolate</t>
  </si>
  <si>
    <t>Marie biscuits</t>
  </si>
  <si>
    <t>Tomato sauce</t>
  </si>
  <si>
    <t>2 bottles</t>
  </si>
  <si>
    <t>Syrup</t>
  </si>
  <si>
    <t>1 × 500g</t>
  </si>
  <si>
    <t>Communion juice (Grape)</t>
  </si>
  <si>
    <t>Butro Butter</t>
  </si>
  <si>
    <t>500g</t>
  </si>
  <si>
    <t>Communion loaf</t>
  </si>
  <si>
    <t>1 loaf</t>
  </si>
  <si>
    <t>📖  Activity Playbook</t>
  </si>
  <si>
    <t>Detailed facilitator instructions for every activity. Enable text-wrap to read in full.</t>
  </si>
  <si>
    <t xml:space="preserve">  FACILITATOR GUIDE</t>
  </si>
  <si>
    <t>Goal / Objective</t>
  </si>
  <si>
    <t>Steps &amp; Lead Considerations</t>
  </si>
  <si>
    <t>Break the initial tension and get everyone laughing and connecting.</t>
  </si>
  <si>
    <t>STEPS:
1. Have daughters introduce their fathers to the group (and vice versa).
2. Play a quick "Name Game" or "Two Truths and a Lie" (Camp Edition).
LEAD CONSIDERATIONS:
• Keep the energy high and fast-paced.
• Don't let introductions drag on too long.
• Ensure every single person feels seen and heard.</t>
  </si>
  <si>
    <t>Draw fathers and daughters together through teamwork and physical connection.</t>
  </si>
  <si>
    <t>STEPS:
1. Tie the dad and daughter together at the ankles or wrists with a guy rope.
2. Set up an obstacle course or challenge (e.g. crossing a line while carrying a cup of water, or building a clay structure).
LEAD CONSIDERATIONS:
• Emphasise that the goal isn't just winning — it's communicating and moving as one unit.
• If frustration builds, pause and remind them to listen to each other.</t>
  </si>
  <si>
    <t>Quality, guided conversational time in a relaxed setting.</t>
  </si>
  <si>
    <t>STEPS:
1. Lay out tables, maize meal, dough, stokke (sticks), syrup, and marshmallows near the fire.
2. Ensure the printed question cards are handed out to each pair.
3. As they cook their stokbrood, fathers and daughters use the cards to spark deep conversations.
LEAD CONSIDERATIONS:
• Keep the fire well-stoked but safe.
• Give families enough physical space around the fire for private conversations.
• Do not interrupt them once they are deep in conversation.</t>
  </si>
  <si>
    <t>Lighthearted fun followed by grounding the day's experiences.</t>
  </si>
  <si>
    <t>STEPS:
1. Allow 10–15 minutes for groups to prepare a short, funny skit about something that happened today.
2. Follow up by presenting the carving (if applicable) and summarising the key takeaways from Saturday.
LEAD CONSIDERATIONS:
• Set a supportive, cheering tone for the skits.
• Transition smoothly from the loud fun into a calmer, reflective tone for the debrief before bed.</t>
  </si>
  <si>
    <t>Spiritual reflection on restoration and the turning of hearts.</t>
  </si>
  <si>
    <t>STEPS:
1. Show the downloaded YouTube video of the Malachi scripture (Malachi 4:6) using the projector and speaker.
2. Perform the Sand Demo: Use a tray with shaking sand to demonstrate how things naturally drift apart, and discuss how intentional action (turning towards each other) is the solution.
LEAD CONSIDERATIONS:
• This is a visually and emotionally impactful session.
• Ensure the tech (projector/speaker) is tested well beforehand.
• Speak slowly and let the metaphor sink in.</t>
  </si>
  <si>
    <t>Spiritual reflection, forgiveness, and partaking in the covenant together.</t>
  </si>
  <si>
    <t>STEPS:
1. Provide the elements (grape juice and broken loaf) to each father/daughter pair.
2. Read Suggested Scriptures: 1 Corinthians 11:23–26 (The Lord's Supper) or Colossians 3:12–14 (Forgiveness and Love).
3. Guide the fathers to pray a blessing over their daughters before taking the elements.
LEAD CONSIDERATIONS:
• Create a quiet, reverent atmosphere. Allow ample time; do not rush this moment.
• Have soft, instrumental worship music playing in the background if possible.
• Consider dimming lights or using candlelight.</t>
  </si>
  <si>
    <t>Personal reflection on the Malachi session and Communion.</t>
  </si>
  <si>
    <t>STEPS:
1. Fathers and daughters separate briefly, or sit quietly together without speaking, to reflect or journal.
LEAD CONSIDERATIONS:
• Clearly define the boundaries (e.g. "We will reconvene in 15 minutes at the main tent").
• Keep the camp entirely quiet during this block.</t>
  </si>
  <si>
    <t>Equipping fathers for the journey ahead, while daughters have a separate empowering session.</t>
  </si>
  <si>
    <t>STEPS:
1. Split the group: Dads in one area, daughters in another.
2. Lead a discussion with the dads about the weight and privilege of raising a daughter, drawing on the weekend's themes.
3. Youth Track Leaders run the daughters' session simultaneously.
LEAD CONSIDERATIONS:
• Encourage vulnerability.
• Ask open-ended questions like "What is your biggest fear in this season of her life?"</t>
  </si>
  <si>
    <t>A final burst of fun, competitive teamwork before departing.</t>
  </si>
  <si>
    <t>STEPS:
1. Set up the tug of war rope in a clear, flat area.
2. Run several heats: Dads vs. Dads, Daughters vs. Daughters, then mixed teams.
LEAD CONSIDERATIONS:
• Safety first — ensure the ground isn't slippery and nobody wraps the rope around their hands/wrists.
• Keep it highly competitive but lighthearted. End on a massive high note!</t>
  </si>
</sst>
</file>

<file path=xl/styles.xml><?xml version="1.0" encoding="utf-8"?>
<styleSheet xmlns="http://schemas.openxmlformats.org/spreadsheetml/2006/main">
  <numFmts count="2">
    <numFmt numFmtId="164" formatCode="hh:mm AM/PM"/>
    <numFmt numFmtId="165" formatCode="h:mm AM/PM"/>
  </numFmts>
  <fonts count="17">
    <font>
      <sz val="11"/>
      <color theme="1"/>
      <name val="Calibri"/>
      <family val="2"/>
      <scheme val="minor"/>
    </font>
    <font>
      <b/>
      <sz val="22"/>
      <color rgb="FF1B2A4A"/>
      <name val="Calibri"/>
      <family val="2"/>
      <scheme val="minor"/>
    </font>
    <font>
      <i/>
      <sz val="12"/>
      <color rgb="FF3D5A80"/>
      <name val="Calibri"/>
      <family val="2"/>
      <scheme val="minor"/>
    </font>
    <font>
      <b/>
      <sz val="14"/>
      <color rgb="FFFFFFFF"/>
      <name val="Calibri"/>
      <family val="2"/>
      <scheme val="minor"/>
    </font>
    <font>
      <sz val="11"/>
      <color rgb="FF2D2D2D"/>
      <name val="Calibri"/>
      <family val="2"/>
      <scheme val="minor"/>
    </font>
    <font>
      <b/>
      <sz val="11"/>
      <color rgb="FF2D2D2D"/>
      <name val="Calibri"/>
      <family val="2"/>
      <scheme val="minor"/>
    </font>
    <font>
      <b/>
      <sz val="11"/>
      <color rgb="FFFFFFFF"/>
      <name val="Calibri"/>
      <family val="2"/>
      <scheme val="minor"/>
    </font>
    <font>
      <b/>
      <sz val="11"/>
      <color rgb="FF1B2A4A"/>
      <name val="Calibri"/>
      <family val="2"/>
      <scheme val="minor"/>
    </font>
    <font>
      <b/>
      <sz val="11"/>
      <color rgb="FF1A7A6D"/>
      <name val="Calibri"/>
      <family val="2"/>
      <scheme val="minor"/>
    </font>
    <font>
      <i/>
      <sz val="11"/>
      <color rgb="FF5D6D7E"/>
      <name val="Calibri"/>
      <family val="2"/>
      <scheme val="minor"/>
    </font>
    <font>
      <b/>
      <sz val="12"/>
      <color rgb="FF3D5A80"/>
      <name val="Calibri"/>
      <family val="2"/>
      <scheme val="minor"/>
    </font>
    <font>
      <b/>
      <sz val="14"/>
      <color rgb="FF1B2A4A"/>
      <name val="Calibri"/>
      <family val="2"/>
      <scheme val="minor"/>
    </font>
    <font>
      <b/>
      <sz val="11"/>
      <color rgb="FFC0542F"/>
      <name val="Calibri"/>
      <family val="2"/>
      <scheme val="minor"/>
    </font>
    <font>
      <b/>
      <sz val="18"/>
      <color rgb="FFFFFFFF"/>
      <name val="Calibri"/>
      <family val="2"/>
      <scheme val="minor"/>
    </font>
    <font>
      <b/>
      <sz val="16"/>
      <color rgb="FFD4A843"/>
      <name val="Calibri"/>
      <family val="2"/>
      <scheme val="minor"/>
    </font>
    <font>
      <b/>
      <sz val="15"/>
      <color rgb="FF1B2A4A"/>
      <name val="Calibri"/>
      <family val="2"/>
      <scheme val="minor"/>
    </font>
    <font>
      <i/>
      <sz val="11"/>
      <color rgb="FF3D5A80"/>
      <name val="Calibri"/>
      <family val="2"/>
      <scheme val="minor"/>
    </font>
  </fonts>
  <fills count="11">
    <fill>
      <patternFill patternType="none"/>
    </fill>
    <fill>
      <patternFill patternType="gray125"/>
    </fill>
    <fill>
      <patternFill patternType="solid">
        <fgColor rgb="FF1A7A6D"/>
        <bgColor indexed="64"/>
      </patternFill>
    </fill>
    <fill>
      <patternFill patternType="solid">
        <fgColor rgb="FFFFFDF7"/>
        <bgColor indexed="64"/>
      </patternFill>
    </fill>
    <fill>
      <patternFill patternType="solid">
        <fgColor rgb="FFFFF8E1"/>
        <bgColor indexed="64"/>
      </patternFill>
    </fill>
    <fill>
      <patternFill patternType="solid">
        <fgColor rgb="FF1B2A4A"/>
        <bgColor indexed="64"/>
      </patternFill>
    </fill>
    <fill>
      <patternFill patternType="solid">
        <fgColor rgb="FFF5EFE0"/>
        <bgColor indexed="64"/>
      </patternFill>
    </fill>
    <fill>
      <patternFill patternType="solid">
        <fgColor rgb="FFD4A843"/>
        <bgColor indexed="64"/>
      </patternFill>
    </fill>
    <fill>
      <patternFill patternType="solid">
        <fgColor rgb="FFE0F2F1"/>
        <bgColor indexed="64"/>
      </patternFill>
    </fill>
    <fill>
      <patternFill patternType="solid">
        <fgColor rgb="FFE8E8E8"/>
        <bgColor indexed="64"/>
      </patternFill>
    </fill>
    <fill>
      <patternFill patternType="solid">
        <fgColor rgb="FFC0542F"/>
        <bgColor indexed="64"/>
      </patternFill>
    </fill>
  </fills>
  <borders count="9">
    <border>
      <left/>
      <right/>
      <top/>
      <bottom/>
      <diagonal/>
    </border>
    <border>
      <left/>
      <right/>
      <top/>
      <bottom style="medium">
        <color rgb="FFD4A843"/>
      </bottom>
      <diagonal/>
    </border>
    <border>
      <left style="thin">
        <color rgb="FF1A7A6D"/>
      </left>
      <right style="thin">
        <color rgb="FF1A7A6D"/>
      </right>
      <top style="thin">
        <color rgb="FF1A7A6D"/>
      </top>
      <bottom style="thin">
        <color rgb="FF1A7A6D"/>
      </bottom>
      <diagonal/>
    </border>
    <border>
      <left style="thin">
        <color rgb="FFE8E8E8"/>
      </left>
      <right style="thin">
        <color rgb="FFE8E8E8"/>
      </right>
      <top style="thin">
        <color rgb="FFE8E8E8"/>
      </top>
      <bottom style="thin">
        <color rgb="FFE8E8E8"/>
      </bottom>
      <diagonal/>
    </border>
    <border>
      <left style="thin">
        <color rgb="FFD4A843"/>
      </left>
      <right style="thin">
        <color rgb="FFD4A843"/>
      </right>
      <top style="thin">
        <color rgb="FFD4A843"/>
      </top>
      <bottom style="thin">
        <color rgb="FFD4A843"/>
      </bottom>
      <diagonal/>
    </border>
    <border>
      <left style="thin">
        <color rgb="FF1B2A4A"/>
      </left>
      <right style="thin">
        <color rgb="FF1B2A4A"/>
      </right>
      <top style="thin">
        <color rgb="FF1B2A4A"/>
      </top>
      <bottom style="thin">
        <color rgb="FF1B2A4A"/>
      </bottom>
      <diagonal/>
    </border>
    <border>
      <left style="medium">
        <color rgb="FFD4A843"/>
      </left>
      <right style="medium">
        <color rgb="FFD4A843"/>
      </right>
      <top style="medium">
        <color rgb="FFD4A843"/>
      </top>
      <bottom style="medium">
        <color rgb="FFD4A843"/>
      </bottom>
      <diagonal/>
    </border>
    <border>
      <left/>
      <right/>
      <top/>
      <bottom style="dashed">
        <color rgb="FFD4A843"/>
      </bottom>
      <diagonal/>
    </border>
    <border>
      <left/>
      <right/>
      <top/>
      <bottom style="thin">
        <color rgb="FFE8E8E8"/>
      </bottom>
      <diagonal/>
    </border>
  </borders>
  <cellStyleXfs count="1">
    <xf numFmtId="0" fontId="0" fillId="0" borderId="0"/>
  </cellStyleXfs>
  <cellXfs count="35">
    <xf numFmtId="0" fontId="0" fillId="0" borderId="0" xfId="0"/>
    <xf numFmtId="0" fontId="1" fillId="0" borderId="1" xfId="0" applyFont="1" applyBorder="1" applyAlignment="1">
      <alignment vertical="center"/>
    </xf>
    <xf numFmtId="0" fontId="2" fillId="0" borderId="0" xfId="0" applyFont="1" applyAlignment="1">
      <alignment vertical="center"/>
    </xf>
    <xf numFmtId="0" fontId="3" fillId="2" borderId="2" xfId="0" applyFont="1" applyFill="1" applyBorder="1" applyAlignment="1">
      <alignment horizontal="left" vertical="center"/>
    </xf>
    <xf numFmtId="0" fontId="4" fillId="3" borderId="3" xfId="0" applyFont="1" applyFill="1" applyBorder="1" applyAlignment="1">
      <alignment vertical="center" wrapText="1"/>
    </xf>
    <xf numFmtId="0" fontId="5" fillId="4" borderId="4"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4" fillId="6" borderId="3" xfId="0" applyFont="1" applyFill="1" applyBorder="1" applyAlignment="1">
      <alignment vertical="center" wrapText="1"/>
    </xf>
    <xf numFmtId="0" fontId="4" fillId="3" borderId="3"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7" fillId="7" borderId="4" xfId="0" applyFont="1" applyFill="1" applyBorder="1" applyAlignment="1">
      <alignment horizontal="center" vertical="center" wrapText="1"/>
    </xf>
    <xf numFmtId="0" fontId="8" fillId="8" borderId="2" xfId="0" applyFont="1" applyFill="1" applyBorder="1" applyAlignment="1">
      <alignment horizontal="center" vertical="center" wrapText="1"/>
    </xf>
    <xf numFmtId="0" fontId="5" fillId="3" borderId="3" xfId="0" applyFont="1" applyFill="1" applyBorder="1" applyAlignment="1">
      <alignment vertical="center" wrapText="1"/>
    </xf>
    <xf numFmtId="0" fontId="4" fillId="3" borderId="4" xfId="0" applyFont="1" applyFill="1" applyBorder="1" applyAlignment="1">
      <alignment vertical="center" wrapText="1"/>
    </xf>
    <xf numFmtId="0" fontId="9" fillId="9" borderId="3" xfId="0" applyFont="1" applyFill="1" applyBorder="1" applyAlignment="1">
      <alignment vertical="center" wrapText="1"/>
    </xf>
    <xf numFmtId="0" fontId="5" fillId="6" borderId="3" xfId="0" applyFont="1" applyFill="1" applyBorder="1" applyAlignment="1">
      <alignment vertical="center" wrapText="1"/>
    </xf>
    <xf numFmtId="0" fontId="4" fillId="6" borderId="4" xfId="0" applyFont="1" applyFill="1" applyBorder="1" applyAlignment="1">
      <alignment vertical="center" wrapText="1"/>
    </xf>
    <xf numFmtId="0" fontId="10" fillId="0" borderId="0" xfId="0" applyFont="1" applyAlignment="1">
      <alignment horizontal="right" vertical="center"/>
    </xf>
    <xf numFmtId="164" fontId="11" fillId="4" borderId="6" xfId="0" applyNumberFormat="1" applyFont="1" applyFill="1" applyBorder="1" applyAlignment="1">
      <alignment horizontal="center" vertical="center"/>
    </xf>
    <xf numFmtId="0" fontId="7" fillId="3" borderId="3" xfId="0" applyFont="1" applyFill="1" applyBorder="1" applyAlignment="1">
      <alignment horizontal="center" vertical="center" wrapText="1"/>
    </xf>
    <xf numFmtId="164" fontId="4" fillId="3" borderId="3" xfId="0" applyNumberFormat="1" applyFont="1" applyFill="1" applyBorder="1" applyAlignment="1">
      <alignment horizontal="center" vertical="center" wrapText="1"/>
    </xf>
    <xf numFmtId="0" fontId="5" fillId="3" borderId="3" xfId="0" applyFont="1" applyFill="1" applyBorder="1" applyAlignment="1">
      <alignment horizontal="center" vertical="center" wrapText="1"/>
    </xf>
    <xf numFmtId="0" fontId="7" fillId="6" borderId="3" xfId="0" applyFont="1" applyFill="1" applyBorder="1" applyAlignment="1">
      <alignment horizontal="center" vertical="center" wrapText="1"/>
    </xf>
    <xf numFmtId="164" fontId="4" fillId="6" borderId="3" xfId="0" applyNumberFormat="1" applyFont="1" applyFill="1" applyBorder="1" applyAlignment="1">
      <alignment horizontal="center" vertical="center" wrapText="1"/>
    </xf>
    <xf numFmtId="0" fontId="5" fillId="6" borderId="3" xfId="0" applyFont="1" applyFill="1" applyBorder="1" applyAlignment="1">
      <alignment horizontal="center" vertical="center" wrapText="1"/>
    </xf>
    <xf numFmtId="0" fontId="12" fillId="6" borderId="3"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5" borderId="7" xfId="0" applyFont="1" applyFill="1" applyBorder="1" applyAlignment="1">
      <alignment horizontal="center" vertical="center"/>
    </xf>
    <xf numFmtId="0" fontId="13" fillId="10" borderId="7" xfId="0" applyFont="1" applyFill="1" applyBorder="1" applyAlignment="1">
      <alignment horizontal="center" vertical="center"/>
    </xf>
    <xf numFmtId="165" fontId="14" fillId="0" borderId="0" xfId="0" applyNumberFormat="1" applyFont="1" applyAlignment="1">
      <alignment horizontal="right" vertical="center"/>
    </xf>
    <xf numFmtId="0" fontId="15" fillId="0" borderId="0" xfId="0" applyFont="1" applyAlignment="1">
      <alignment vertical="center"/>
    </xf>
    <xf numFmtId="0" fontId="16" fillId="0" borderId="0" xfId="0" applyFont="1" applyAlignment="1">
      <alignment vertical="top"/>
    </xf>
    <xf numFmtId="0" fontId="0" fillId="0" borderId="8" xfId="0" applyBorder="1"/>
    <xf numFmtId="0" fontId="7" fillId="3" borderId="3" xfId="0" applyFont="1" applyFill="1" applyBorder="1" applyAlignment="1">
      <alignment vertical="center" wrapText="1"/>
    </xf>
    <xf numFmtId="0" fontId="7" fillId="6" borderId="3" xfId="0" applyFont="1" applyFill="1" applyBorder="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D4A843"/>
  </sheetPr>
  <dimension ref="A1:F25"/>
  <sheetViews>
    <sheetView showGridLines="0" tabSelected="1" workbookViewId="0"/>
  </sheetViews>
  <sheetFormatPr defaultRowHeight="15"/>
  <cols>
    <col min="1" max="1" width="28.7109375" customWidth="1"/>
    <col min="2" max="2" width="16.7109375" customWidth="1"/>
    <col min="3" max="3" width="4.7109375" customWidth="1"/>
    <col min="4" max="4" width="32.7109375" customWidth="1"/>
    <col min="5" max="5" width="22.7109375" customWidth="1"/>
    <col min="6" max="6" width="34.7109375" customWidth="1"/>
  </cols>
  <sheetData>
    <row r="1" spans="1:6" ht="36" customHeight="1">
      <c r="A1" s="1" t="s">
        <v>0</v>
      </c>
    </row>
    <row r="2" spans="1:6" ht="20" customHeight="1">
      <c r="A2" s="2" t="s">
        <v>1</v>
      </c>
    </row>
    <row r="4" spans="1:6" ht="28" customHeight="1">
      <c r="A4" s="3" t="s">
        <v>2</v>
      </c>
      <c r="B4" s="3"/>
      <c r="D4" s="3" t="s">
        <v>7</v>
      </c>
      <c r="E4" s="3"/>
      <c r="F4" s="3"/>
    </row>
    <row r="5" spans="1:6" ht="24" customHeight="1">
      <c r="A5" s="4" t="s">
        <v>3</v>
      </c>
      <c r="B5" s="5">
        <v>16</v>
      </c>
      <c r="D5" s="6" t="s">
        <v>8</v>
      </c>
      <c r="E5" s="6" t="s">
        <v>9</v>
      </c>
      <c r="F5" s="6" t="s">
        <v>10</v>
      </c>
    </row>
    <row r="6" spans="1:6" ht="24" customHeight="1">
      <c r="A6" s="7" t="s">
        <v>4</v>
      </c>
      <c r="B6" s="5">
        <v>16</v>
      </c>
      <c r="D6" s="8">
        <v>1</v>
      </c>
      <c r="E6" s="4" t="s">
        <v>11</v>
      </c>
      <c r="F6" s="4" t="s">
        <v>12</v>
      </c>
    </row>
    <row r="7" spans="1:6" ht="24" customHeight="1">
      <c r="A7" s="4" t="s">
        <v>5</v>
      </c>
      <c r="B7" s="5">
        <v>11</v>
      </c>
      <c r="D7" s="9">
        <v>2</v>
      </c>
      <c r="E7" s="7" t="s">
        <v>13</v>
      </c>
      <c r="F7" s="7" t="s">
        <v>14</v>
      </c>
    </row>
    <row r="8" spans="1:6" ht="24" customHeight="1">
      <c r="A8" s="10" t="s">
        <v>6</v>
      </c>
      <c r="B8" s="11">
        <f>SUM(B5:B7)</f>
        <v>0</v>
      </c>
      <c r="D8" s="8">
        <v>3</v>
      </c>
      <c r="E8" s="4" t="s">
        <v>15</v>
      </c>
      <c r="F8" s="4"/>
    </row>
    <row r="9" spans="1:6" ht="24" customHeight="1">
      <c r="D9" s="9">
        <v>4</v>
      </c>
      <c r="E9" s="7" t="s">
        <v>16</v>
      </c>
      <c r="F9" s="7" t="s">
        <v>17</v>
      </c>
    </row>
    <row r="10" spans="1:6" ht="24" customHeight="1">
      <c r="D10" s="8">
        <v>5</v>
      </c>
      <c r="E10" s="4" t="s">
        <v>18</v>
      </c>
      <c r="F10" s="4" t="s">
        <v>19</v>
      </c>
    </row>
    <row r="11" spans="1:6" ht="24" customHeight="1">
      <c r="D11" s="9">
        <v>6</v>
      </c>
      <c r="E11" s="7" t="s">
        <v>20</v>
      </c>
      <c r="F11" s="7"/>
    </row>
    <row r="12" spans="1:6" ht="24" customHeight="1">
      <c r="D12" s="8">
        <v>7</v>
      </c>
      <c r="E12" s="4" t="s">
        <v>21</v>
      </c>
      <c r="F12" s="4" t="s">
        <v>22</v>
      </c>
    </row>
    <row r="13" spans="1:6" ht="24" customHeight="1">
      <c r="D13" s="9">
        <v>8</v>
      </c>
      <c r="E13" s="7" t="s">
        <v>23</v>
      </c>
      <c r="F13" s="7"/>
    </row>
    <row r="14" spans="1:6" ht="24" customHeight="1">
      <c r="D14" s="8">
        <v>9</v>
      </c>
      <c r="E14" s="4" t="s">
        <v>24</v>
      </c>
      <c r="F14" s="4"/>
    </row>
    <row r="15" spans="1:6" ht="24" customHeight="1">
      <c r="D15" s="9">
        <v>10</v>
      </c>
      <c r="E15" s="7" t="s">
        <v>25</v>
      </c>
      <c r="F15" s="7"/>
    </row>
    <row r="16" spans="1:6" ht="24" customHeight="1">
      <c r="D16" s="8">
        <v>11</v>
      </c>
      <c r="E16" s="4" t="s">
        <v>26</v>
      </c>
      <c r="F16" s="4"/>
    </row>
    <row r="17" spans="4:6" ht="24" customHeight="1">
      <c r="D17" s="9">
        <v>12</v>
      </c>
      <c r="E17" s="7"/>
      <c r="F17" s="7"/>
    </row>
    <row r="18" spans="4:6" ht="24" customHeight="1">
      <c r="D18" s="8">
        <v>13</v>
      </c>
      <c r="E18" s="4"/>
      <c r="F18" s="4"/>
    </row>
    <row r="19" spans="4:6" ht="24" customHeight="1">
      <c r="D19" s="9">
        <v>14</v>
      </c>
      <c r="E19" s="7"/>
      <c r="F19" s="7"/>
    </row>
    <row r="20" spans="4:6" ht="24" customHeight="1">
      <c r="D20" s="8">
        <v>15</v>
      </c>
      <c r="E20" s="4"/>
      <c r="F20" s="4"/>
    </row>
    <row r="21" spans="4:6" ht="24" customHeight="1">
      <c r="D21" s="9">
        <v>16</v>
      </c>
      <c r="E21" s="7"/>
      <c r="F21" s="7"/>
    </row>
    <row r="22" spans="4:6" ht="24" customHeight="1">
      <c r="D22" s="8">
        <v>17</v>
      </c>
      <c r="E22" s="4"/>
      <c r="F22" s="4"/>
    </row>
    <row r="23" spans="4:6" ht="24" customHeight="1">
      <c r="D23" s="9">
        <v>18</v>
      </c>
      <c r="E23" s="7"/>
      <c r="F23" s="7"/>
    </row>
    <row r="24" spans="4:6" ht="24" customHeight="1">
      <c r="D24" s="8">
        <v>19</v>
      </c>
      <c r="E24" s="4"/>
      <c r="F24" s="4"/>
    </row>
    <row r="25" spans="4:6" ht="24" customHeight="1">
      <c r="D25" s="9">
        <v>20</v>
      </c>
      <c r="E25" s="7"/>
      <c r="F25" s="7"/>
    </row>
  </sheetData>
  <mergeCells count="2">
    <mergeCell ref="A4:B4"/>
    <mergeCell ref="D4:F4"/>
  </mergeCells>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1B2A4A"/>
  </sheetPr>
  <dimension ref="A1:D16"/>
  <sheetViews>
    <sheetView showGridLines="0" workbookViewId="0"/>
  </sheetViews>
  <sheetFormatPr defaultRowHeight="15"/>
  <cols>
    <col min="1" max="1" width="26.7109375" customWidth="1"/>
    <col min="2" max="2" width="72.7109375" customWidth="1"/>
    <col min="3" max="3" width="26.7109375" customWidth="1"/>
    <col min="4" max="4" width="22.7109375" customWidth="1"/>
  </cols>
  <sheetData>
    <row r="1" spans="1:4" ht="36" customHeight="1">
      <c r="A1" s="1" t="s">
        <v>27</v>
      </c>
    </row>
    <row r="2" spans="1:4" ht="20" customHeight="1">
      <c r="A2" s="2" t="s">
        <v>28</v>
      </c>
    </row>
    <row r="4" spans="1:4" ht="28" customHeight="1">
      <c r="A4" s="3" t="s">
        <v>29</v>
      </c>
      <c r="B4" s="3"/>
      <c r="C4" s="3"/>
      <c r="D4" s="3"/>
    </row>
    <row r="5" spans="1:4" ht="26" customHeight="1">
      <c r="A5" s="6" t="s">
        <v>30</v>
      </c>
      <c r="B5" s="6" t="s">
        <v>31</v>
      </c>
      <c r="C5" s="6" t="s">
        <v>32</v>
      </c>
      <c r="D5" s="6" t="s">
        <v>33</v>
      </c>
    </row>
    <row r="6" spans="1:4" ht="65" customHeight="1">
      <c r="A6" s="12" t="s">
        <v>34</v>
      </c>
      <c r="B6" s="4" t="s">
        <v>35</v>
      </c>
      <c r="C6" s="13" t="s">
        <v>11</v>
      </c>
      <c r="D6" s="14">
        <f>IFERROR(VLOOKUP(C6,'1. Settings &amp; Leaders'!$E$6:$F$30,2,FALSE),"")</f>
        <v>0</v>
      </c>
    </row>
    <row r="7" spans="1:4" ht="65" customHeight="1">
      <c r="A7" s="15" t="s">
        <v>36</v>
      </c>
      <c r="B7" s="7" t="s">
        <v>37</v>
      </c>
      <c r="C7" s="16" t="s">
        <v>13</v>
      </c>
      <c r="D7" s="14">
        <f>IFERROR(VLOOKUP(C7,'1. Settings &amp; Leaders'!$E$6:$F$30,2,FALSE),"")</f>
        <v>0</v>
      </c>
    </row>
    <row r="8" spans="1:4" ht="65" customHeight="1">
      <c r="A8" s="12" t="s">
        <v>38</v>
      </c>
      <c r="B8" s="4" t="s">
        <v>39</v>
      </c>
      <c r="C8" s="13" t="s">
        <v>15</v>
      </c>
      <c r="D8" s="14">
        <f>IFERROR(VLOOKUP(C8,'1. Settings &amp; Leaders'!$E$6:$F$30,2,FALSE),"")</f>
        <v>0</v>
      </c>
    </row>
    <row r="9" spans="1:4" ht="65" customHeight="1">
      <c r="A9" s="15" t="s">
        <v>40</v>
      </c>
      <c r="B9" s="7" t="s">
        <v>41</v>
      </c>
      <c r="C9" s="16" t="s">
        <v>16</v>
      </c>
      <c r="D9" s="14">
        <f>IFERROR(VLOOKUP(C9,'1. Settings &amp; Leaders'!$E$6:$F$30,2,FALSE),"")</f>
        <v>0</v>
      </c>
    </row>
    <row r="10" spans="1:4" ht="65" customHeight="1">
      <c r="A10" s="12" t="s">
        <v>42</v>
      </c>
      <c r="B10" s="4" t="s">
        <v>43</v>
      </c>
      <c r="C10" s="13" t="s">
        <v>18</v>
      </c>
      <c r="D10" s="14">
        <f>IFERROR(VLOOKUP(C10,'1. Settings &amp; Leaders'!$E$6:$F$30,2,FALSE),"")</f>
        <v>0</v>
      </c>
    </row>
    <row r="11" spans="1:4" ht="65" customHeight="1">
      <c r="A11" s="15" t="s">
        <v>44</v>
      </c>
      <c r="B11" s="7" t="s">
        <v>45</v>
      </c>
      <c r="C11" s="16" t="s">
        <v>20</v>
      </c>
      <c r="D11" s="14">
        <f>IFERROR(VLOOKUP(C11,'1. Settings &amp; Leaders'!$E$6:$F$30,2,FALSE),"")</f>
        <v>0</v>
      </c>
    </row>
    <row r="12" spans="1:4" ht="65" customHeight="1">
      <c r="A12" s="12" t="s">
        <v>46</v>
      </c>
      <c r="B12" s="4" t="s">
        <v>47</v>
      </c>
      <c r="C12" s="13" t="s">
        <v>25</v>
      </c>
      <c r="D12" s="14">
        <f>IFERROR(VLOOKUP(C12,'1. Settings &amp; Leaders'!$E$6:$F$30,2,FALSE),"")</f>
        <v>0</v>
      </c>
    </row>
    <row r="13" spans="1:4" ht="65" customHeight="1">
      <c r="A13" s="15" t="s">
        <v>48</v>
      </c>
      <c r="B13" s="7" t="s">
        <v>47</v>
      </c>
      <c r="C13" s="16" t="s">
        <v>26</v>
      </c>
      <c r="D13" s="14">
        <f>IFERROR(VLOOKUP(C13,'1. Settings &amp; Leaders'!$E$6:$F$30,2,FALSE),"")</f>
        <v>0</v>
      </c>
    </row>
    <row r="14" spans="1:4" ht="65" customHeight="1">
      <c r="A14" s="12" t="s">
        <v>49</v>
      </c>
      <c r="B14" s="4" t="s">
        <v>50</v>
      </c>
      <c r="C14" s="13" t="s">
        <v>21</v>
      </c>
      <c r="D14" s="14">
        <f>IFERROR(VLOOKUP(C14,'1. Settings &amp; Leaders'!$E$6:$F$30,2,FALSE),"")</f>
        <v>0</v>
      </c>
    </row>
    <row r="15" spans="1:4" ht="65" customHeight="1">
      <c r="A15" s="15" t="s">
        <v>51</v>
      </c>
      <c r="B15" s="7" t="s">
        <v>52</v>
      </c>
      <c r="C15" s="16" t="s">
        <v>23</v>
      </c>
      <c r="D15" s="14">
        <f>IFERROR(VLOOKUP(C15,'1. Settings &amp; Leaders'!$E$6:$F$30,2,FALSE),"")</f>
        <v>0</v>
      </c>
    </row>
    <row r="16" spans="1:4" ht="65" customHeight="1">
      <c r="A16" s="12" t="s">
        <v>53</v>
      </c>
      <c r="B16" s="4" t="s">
        <v>54</v>
      </c>
      <c r="C16" s="13" t="s">
        <v>24</v>
      </c>
      <c r="D16" s="14">
        <f>IFERROR(VLOOKUP(C16,'1. Settings &amp; Leaders'!$E$6:$F$30,2,FALSE),"")</f>
        <v>0</v>
      </c>
    </row>
  </sheetData>
  <mergeCells count="1">
    <mergeCell ref="A4:D4"/>
  </mergeCells>
  <dataValidations count="11">
    <dataValidation type="list" allowBlank="1" showInputMessage="1" sqref="C6">
      <formula1>'1. Settings &amp; Leaders'!$E$6:$E$30</formula1>
    </dataValidation>
    <dataValidation type="list" allowBlank="1" showInputMessage="1" sqref="C7">
      <formula1>'1. Settings &amp; Leaders'!$E$6:$E$30</formula1>
    </dataValidation>
    <dataValidation type="list" allowBlank="1" showInputMessage="1" sqref="C8">
      <formula1>'1. Settings &amp; Leaders'!$E$6:$E$30</formula1>
    </dataValidation>
    <dataValidation type="list" allowBlank="1" showInputMessage="1" sqref="C9">
      <formula1>'1. Settings &amp; Leaders'!$E$6:$E$30</formula1>
    </dataValidation>
    <dataValidation type="list" allowBlank="1" showInputMessage="1" sqref="C10">
      <formula1>'1. Settings &amp; Leaders'!$E$6:$E$30</formula1>
    </dataValidation>
    <dataValidation type="list" allowBlank="1" showInputMessage="1" sqref="C11">
      <formula1>'1. Settings &amp; Leaders'!$E$6:$E$30</formula1>
    </dataValidation>
    <dataValidation type="list" allowBlank="1" showInputMessage="1" sqref="C12">
      <formula1>'1. Settings &amp; Leaders'!$E$6:$E$30</formula1>
    </dataValidation>
    <dataValidation type="list" allowBlank="1" showInputMessage="1" sqref="C13">
      <formula1>'1. Settings &amp; Leaders'!$E$6:$E$30</formula1>
    </dataValidation>
    <dataValidation type="list" allowBlank="1" showInputMessage="1" sqref="C14">
      <formula1>'1. Settings &amp; Leaders'!$E$6:$E$30</formula1>
    </dataValidation>
    <dataValidation type="list" allowBlank="1" showInputMessage="1" sqref="C15">
      <formula1>'1. Settings &amp; Leaders'!$E$6:$E$30</formula1>
    </dataValidation>
    <dataValidation type="list" allowBlank="1" showInputMessage="1" sqref="C16">
      <formula1>'1. Settings &amp; Leaders'!$E$6:$E$30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3D5A80"/>
  </sheetPr>
  <dimension ref="A1:H26"/>
  <sheetViews>
    <sheetView showGridLines="0" workbookViewId="0"/>
  </sheetViews>
  <sheetFormatPr defaultRowHeight="15"/>
  <cols>
    <col min="1" max="1" width="12.7109375" customWidth="1"/>
    <col min="2" max="3" width="16.7109375" customWidth="1"/>
    <col min="4" max="4" width="14.7109375" customWidth="1"/>
    <col min="5" max="5" width="22.7109375" customWidth="1"/>
    <col min="6" max="6" width="48.7109375" customWidth="1"/>
    <col min="7" max="7" width="22.7109375" customWidth="1"/>
    <col min="8" max="8" width="14.7109375" customWidth="1"/>
  </cols>
  <sheetData>
    <row r="1" spans="1:8" ht="36" customHeight="1">
      <c r="A1" s="1" t="s">
        <v>55</v>
      </c>
    </row>
    <row r="2" spans="1:8" ht="20" customHeight="1">
      <c r="A2" s="2" t="s">
        <v>56</v>
      </c>
    </row>
    <row r="4" spans="1:8" ht="32" customHeight="1">
      <c r="B4" s="17" t="s">
        <v>57</v>
      </c>
      <c r="C4" s="18">
        <v>0.625</v>
      </c>
    </row>
    <row r="6" spans="1:8" ht="4" customHeight="1"/>
    <row r="7" spans="1:8" ht="26" customHeight="1">
      <c r="A7" s="6" t="s">
        <v>58</v>
      </c>
      <c r="B7" s="6" t="s">
        <v>59</v>
      </c>
      <c r="C7" s="6" t="s">
        <v>60</v>
      </c>
      <c r="D7" s="6" t="s">
        <v>61</v>
      </c>
      <c r="E7" s="6" t="s">
        <v>62</v>
      </c>
      <c r="F7" s="6" t="s">
        <v>63</v>
      </c>
      <c r="G7" s="6" t="s">
        <v>64</v>
      </c>
      <c r="H7" s="6" t="s">
        <v>65</v>
      </c>
    </row>
    <row r="8" spans="1:8" ht="32" customHeight="1">
      <c r="A8" s="19" t="s">
        <v>66</v>
      </c>
      <c r="B8" s="20">
        <f>$C$4</f>
        <v>0</v>
      </c>
      <c r="C8" s="20">
        <f>B8+(D8/1440)</f>
        <v>0</v>
      </c>
      <c r="D8" s="21">
        <v>30</v>
      </c>
      <c r="E8" s="12" t="s">
        <v>67</v>
      </c>
      <c r="F8" s="4" t="s">
        <v>68</v>
      </c>
      <c r="G8" s="13" t="s">
        <v>44</v>
      </c>
      <c r="H8" s="14" t="s">
        <v>67</v>
      </c>
    </row>
    <row r="9" spans="1:8" ht="32" customHeight="1">
      <c r="A9" s="22" t="s">
        <v>66</v>
      </c>
      <c r="B9" s="23">
        <f>C8</f>
        <v>0</v>
      </c>
      <c r="C9" s="23">
        <f>B9+(D9/1440)</f>
        <v>0</v>
      </c>
      <c r="D9" s="24">
        <v>30</v>
      </c>
      <c r="E9" s="15" t="s">
        <v>69</v>
      </c>
      <c r="F9" s="7" t="s">
        <v>70</v>
      </c>
      <c r="G9" s="16" t="s">
        <v>40</v>
      </c>
      <c r="H9" s="14" t="s">
        <v>69</v>
      </c>
    </row>
    <row r="10" spans="1:8" ht="32" customHeight="1">
      <c r="A10" s="19" t="s">
        <v>66</v>
      </c>
      <c r="B10" s="20">
        <f>C9</f>
        <v>0</v>
      </c>
      <c r="C10" s="20">
        <f>B10+(D10/1440)</f>
        <v>0</v>
      </c>
      <c r="D10" s="21">
        <v>90</v>
      </c>
      <c r="E10" s="12" t="s">
        <v>71</v>
      </c>
      <c r="F10" s="4" t="s">
        <v>72</v>
      </c>
      <c r="G10" s="13" t="s">
        <v>40</v>
      </c>
      <c r="H10" s="14" t="s">
        <v>62</v>
      </c>
    </row>
    <row r="11" spans="1:8" ht="32" customHeight="1">
      <c r="A11" s="22" t="s">
        <v>66</v>
      </c>
      <c r="B11" s="23">
        <f>C10</f>
        <v>0</v>
      </c>
      <c r="C11" s="23">
        <f>B11+(D11/1440)</f>
        <v>0</v>
      </c>
      <c r="D11" s="24">
        <v>90</v>
      </c>
      <c r="E11" s="15" t="s">
        <v>73</v>
      </c>
      <c r="F11" s="7" t="s">
        <v>74</v>
      </c>
      <c r="G11" s="16" t="s">
        <v>36</v>
      </c>
      <c r="H11" s="14" t="s">
        <v>75</v>
      </c>
    </row>
    <row r="12" spans="1:8" ht="32" customHeight="1">
      <c r="A12" s="19" t="s">
        <v>66</v>
      </c>
      <c r="B12" s="20">
        <f>C11</f>
        <v>0</v>
      </c>
      <c r="C12" s="20">
        <f>B12+(D12/1440)</f>
        <v>0</v>
      </c>
      <c r="D12" s="21">
        <v>60</v>
      </c>
      <c r="E12" s="12" t="s">
        <v>76</v>
      </c>
      <c r="F12" s="4" t="s">
        <v>77</v>
      </c>
      <c r="G12" s="13" t="s">
        <v>42</v>
      </c>
      <c r="H12" s="14" t="s">
        <v>76</v>
      </c>
    </row>
    <row r="13" spans="1:8" ht="32" customHeight="1">
      <c r="A13" s="22" t="s">
        <v>66</v>
      </c>
      <c r="B13" s="23">
        <f>C12</f>
        <v>0</v>
      </c>
      <c r="C13" s="23">
        <f>B13+(D13/1440)</f>
        <v>0</v>
      </c>
      <c r="D13" s="24">
        <v>30</v>
      </c>
      <c r="E13" s="15" t="s">
        <v>78</v>
      </c>
      <c r="F13" s="7" t="s">
        <v>79</v>
      </c>
      <c r="G13" s="16" t="s">
        <v>34</v>
      </c>
      <c r="H13" s="14" t="s">
        <v>78</v>
      </c>
    </row>
    <row r="14" spans="1:8" ht="32" customHeight="1">
      <c r="A14" s="19" t="s">
        <v>66</v>
      </c>
      <c r="B14" s="20">
        <f>C13</f>
        <v>0</v>
      </c>
      <c r="C14" s="20">
        <f>B14+(D14/1440)</f>
        <v>0</v>
      </c>
      <c r="D14" s="21">
        <v>60</v>
      </c>
      <c r="E14" s="12" t="s">
        <v>80</v>
      </c>
      <c r="F14" s="4" t="s">
        <v>81</v>
      </c>
      <c r="G14" s="13" t="s">
        <v>38</v>
      </c>
      <c r="H14" s="14" t="s">
        <v>82</v>
      </c>
    </row>
    <row r="15" spans="1:8" ht="32" customHeight="1">
      <c r="A15" s="22" t="s">
        <v>66</v>
      </c>
      <c r="B15" s="23">
        <f>C14</f>
        <v>0</v>
      </c>
      <c r="C15" s="23">
        <f>B15+(D15/1440)</f>
        <v>0</v>
      </c>
      <c r="D15" s="24">
        <v>60</v>
      </c>
      <c r="E15" s="15" t="s">
        <v>83</v>
      </c>
      <c r="F15" s="7" t="s">
        <v>84</v>
      </c>
      <c r="G15" s="16" t="s">
        <v>34</v>
      </c>
      <c r="H15" s="14" t="s">
        <v>85</v>
      </c>
    </row>
    <row r="16" spans="1:8" ht="32" customHeight="1">
      <c r="A16" s="19" t="s">
        <v>66</v>
      </c>
      <c r="B16" s="20">
        <f>C15</f>
        <v>0</v>
      </c>
      <c r="C16" s="20">
        <f>B16+(D16/1440)</f>
        <v>0</v>
      </c>
      <c r="D16" s="21">
        <v>0</v>
      </c>
      <c r="E16" s="12" t="s">
        <v>86</v>
      </c>
      <c r="F16" s="4" t="s">
        <v>87</v>
      </c>
      <c r="G16" s="13" t="s">
        <v>34</v>
      </c>
      <c r="H16" s="14" t="s">
        <v>88</v>
      </c>
    </row>
    <row r="17" spans="1:8" ht="32" customHeight="1">
      <c r="A17" s="25" t="s">
        <v>89</v>
      </c>
      <c r="B17" s="23">
        <f>C16</f>
        <v>0</v>
      </c>
      <c r="C17" s="23">
        <f>B17+(D17/1440)</f>
        <v>0</v>
      </c>
      <c r="D17" s="24">
        <v>45</v>
      </c>
      <c r="E17" s="15" t="s">
        <v>90</v>
      </c>
      <c r="F17" s="7" t="s">
        <v>91</v>
      </c>
      <c r="G17" s="16" t="s">
        <v>36</v>
      </c>
      <c r="H17" s="14" t="s">
        <v>92</v>
      </c>
    </row>
    <row r="18" spans="1:8" ht="32" customHeight="1">
      <c r="A18" s="26" t="s">
        <v>89</v>
      </c>
      <c r="B18" s="20">
        <f>C17</f>
        <v>0</v>
      </c>
      <c r="C18" s="20">
        <f>B18+(D18/1440)</f>
        <v>0</v>
      </c>
      <c r="D18" s="21">
        <v>90</v>
      </c>
      <c r="E18" s="12" t="s">
        <v>93</v>
      </c>
      <c r="F18" s="4" t="s">
        <v>94</v>
      </c>
      <c r="G18" s="13" t="s">
        <v>38</v>
      </c>
      <c r="H18" s="14" t="s">
        <v>95</v>
      </c>
    </row>
    <row r="19" spans="1:8" ht="32" customHeight="1">
      <c r="A19" s="25" t="s">
        <v>89</v>
      </c>
      <c r="B19" s="23">
        <f>C18</f>
        <v>0</v>
      </c>
      <c r="C19" s="23">
        <f>B19+(D19/1440)</f>
        <v>0</v>
      </c>
      <c r="D19" s="24">
        <v>30</v>
      </c>
      <c r="E19" s="15" t="s">
        <v>96</v>
      </c>
      <c r="F19" s="7" t="s">
        <v>97</v>
      </c>
      <c r="G19" s="16" t="s">
        <v>53</v>
      </c>
      <c r="H19" s="14" t="s">
        <v>96</v>
      </c>
    </row>
    <row r="20" spans="1:8" ht="32" customHeight="1">
      <c r="A20" s="26" t="s">
        <v>89</v>
      </c>
      <c r="B20" s="20">
        <f>C19</f>
        <v>0</v>
      </c>
      <c r="C20" s="20">
        <f>B20+(D20/1440)</f>
        <v>0</v>
      </c>
      <c r="D20" s="21">
        <v>15</v>
      </c>
      <c r="E20" s="12" t="s">
        <v>98</v>
      </c>
      <c r="F20" s="4" t="s">
        <v>99</v>
      </c>
      <c r="G20" s="13" t="s">
        <v>34</v>
      </c>
      <c r="H20" s="14" t="s">
        <v>100</v>
      </c>
    </row>
    <row r="21" spans="1:8" ht="32" customHeight="1">
      <c r="A21" s="25" t="s">
        <v>89</v>
      </c>
      <c r="B21" s="23">
        <f>C20</f>
        <v>0</v>
      </c>
      <c r="C21" s="23">
        <f>B21+(D21/1440)</f>
        <v>0</v>
      </c>
      <c r="D21" s="24">
        <v>60</v>
      </c>
      <c r="E21" s="15" t="s">
        <v>101</v>
      </c>
      <c r="F21" s="7" t="s">
        <v>102</v>
      </c>
      <c r="G21" s="16" t="s">
        <v>42</v>
      </c>
      <c r="H21" s="14" t="s">
        <v>101</v>
      </c>
    </row>
    <row r="22" spans="1:8" ht="32" customHeight="1">
      <c r="A22" s="26" t="s">
        <v>89</v>
      </c>
      <c r="B22" s="20">
        <f>C21</f>
        <v>0</v>
      </c>
      <c r="C22" s="20">
        <f>B22+(D22/1440)</f>
        <v>0</v>
      </c>
      <c r="D22" s="21">
        <v>60</v>
      </c>
      <c r="E22" s="12" t="s">
        <v>103</v>
      </c>
      <c r="F22" s="4" t="s">
        <v>104</v>
      </c>
      <c r="G22" s="13" t="s">
        <v>38</v>
      </c>
      <c r="H22" s="14" t="s">
        <v>105</v>
      </c>
    </row>
    <row r="23" spans="1:8" ht="32" customHeight="1">
      <c r="A23" s="25" t="s">
        <v>89</v>
      </c>
      <c r="B23" s="23">
        <f>C22</f>
        <v>0</v>
      </c>
      <c r="C23" s="23">
        <f>B23+(D23/1440)</f>
        <v>0</v>
      </c>
      <c r="D23" s="24">
        <v>15</v>
      </c>
      <c r="E23" s="15" t="s">
        <v>106</v>
      </c>
      <c r="F23" s="7" t="s">
        <v>107</v>
      </c>
      <c r="G23" s="16" t="s">
        <v>34</v>
      </c>
      <c r="H23" s="14" t="s">
        <v>108</v>
      </c>
    </row>
    <row r="24" spans="1:8" ht="32" customHeight="1">
      <c r="A24" s="26" t="s">
        <v>89</v>
      </c>
      <c r="B24" s="20">
        <f>C23</f>
        <v>0</v>
      </c>
      <c r="C24" s="20">
        <f>B24+(D24/1440)</f>
        <v>0</v>
      </c>
      <c r="D24" s="21">
        <v>60</v>
      </c>
      <c r="E24" s="12" t="s">
        <v>109</v>
      </c>
      <c r="F24" s="4" t="s">
        <v>110</v>
      </c>
      <c r="G24" s="13" t="s">
        <v>36</v>
      </c>
      <c r="H24" s="14" t="s">
        <v>109</v>
      </c>
    </row>
    <row r="25" spans="1:8" ht="32" customHeight="1">
      <c r="A25" s="25" t="s">
        <v>89</v>
      </c>
      <c r="B25" s="23">
        <f>C24</f>
        <v>0</v>
      </c>
      <c r="C25" s="23">
        <f>B25+(D25/1440)</f>
        <v>0</v>
      </c>
      <c r="D25" s="24">
        <v>45</v>
      </c>
      <c r="E25" s="15" t="s">
        <v>111</v>
      </c>
      <c r="F25" s="7" t="s">
        <v>112</v>
      </c>
      <c r="G25" s="16" t="s">
        <v>40</v>
      </c>
      <c r="H25" s="14" t="s">
        <v>62</v>
      </c>
    </row>
    <row r="26" spans="1:8" ht="32" customHeight="1">
      <c r="A26" s="26" t="s">
        <v>89</v>
      </c>
      <c r="B26" s="20">
        <f>C25</f>
        <v>0</v>
      </c>
      <c r="C26" s="20">
        <f>B26+(D26/1440)</f>
        <v>0</v>
      </c>
      <c r="D26" s="21">
        <v>0</v>
      </c>
      <c r="E26" s="12" t="s">
        <v>113</v>
      </c>
      <c r="F26" s="4" t="s">
        <v>114</v>
      </c>
      <c r="G26" s="13" t="s">
        <v>44</v>
      </c>
      <c r="H26" s="14" t="s">
        <v>113</v>
      </c>
    </row>
  </sheetData>
  <dataValidations count="19">
    <dataValidation type="list" allowBlank="1" showInputMessage="1" sqref="G8">
      <formula1>'2. Roster &amp; Roles'!$A$6:$A$25</formula1>
    </dataValidation>
    <dataValidation type="list" allowBlank="1" showInputMessage="1" sqref="G9">
      <formula1>'2. Roster &amp; Roles'!$A$6:$A$25</formula1>
    </dataValidation>
    <dataValidation type="list" allowBlank="1" showInputMessage="1" sqref="G10">
      <formula1>'2. Roster &amp; Roles'!$A$6:$A$25</formula1>
    </dataValidation>
    <dataValidation type="list" allowBlank="1" showInputMessage="1" sqref="G11">
      <formula1>'2. Roster &amp; Roles'!$A$6:$A$25</formula1>
    </dataValidation>
    <dataValidation type="list" allowBlank="1" showInputMessage="1" sqref="G12">
      <formula1>'2. Roster &amp; Roles'!$A$6:$A$25</formula1>
    </dataValidation>
    <dataValidation type="list" allowBlank="1" showInputMessage="1" sqref="G13">
      <formula1>'2. Roster &amp; Roles'!$A$6:$A$25</formula1>
    </dataValidation>
    <dataValidation type="list" allowBlank="1" showInputMessage="1" sqref="G14">
      <formula1>'2. Roster &amp; Roles'!$A$6:$A$25</formula1>
    </dataValidation>
    <dataValidation type="list" allowBlank="1" showInputMessage="1" sqref="G15">
      <formula1>'2. Roster &amp; Roles'!$A$6:$A$25</formula1>
    </dataValidation>
    <dataValidation type="list" allowBlank="1" showInputMessage="1" sqref="G16">
      <formula1>'2. Roster &amp; Roles'!$A$6:$A$25</formula1>
    </dataValidation>
    <dataValidation type="list" allowBlank="1" showInputMessage="1" sqref="G17">
      <formula1>'2. Roster &amp; Roles'!$A$6:$A$25</formula1>
    </dataValidation>
    <dataValidation type="list" allowBlank="1" showInputMessage="1" sqref="G18">
      <formula1>'2. Roster &amp; Roles'!$A$6:$A$25</formula1>
    </dataValidation>
    <dataValidation type="list" allowBlank="1" showInputMessage="1" sqref="G19">
      <formula1>'2. Roster &amp; Roles'!$A$6:$A$25</formula1>
    </dataValidation>
    <dataValidation type="list" allowBlank="1" showInputMessage="1" sqref="G20">
      <formula1>'2. Roster &amp; Roles'!$A$6:$A$25</formula1>
    </dataValidation>
    <dataValidation type="list" allowBlank="1" showInputMessage="1" sqref="G21">
      <formula1>'2. Roster &amp; Roles'!$A$6:$A$25</formula1>
    </dataValidation>
    <dataValidation type="list" allowBlank="1" showInputMessage="1" sqref="G22">
      <formula1>'2. Roster &amp; Roles'!$A$6:$A$25</formula1>
    </dataValidation>
    <dataValidation type="list" allowBlank="1" showInputMessage="1" sqref="G23">
      <formula1>'2. Roster &amp; Roles'!$A$6:$A$25</formula1>
    </dataValidation>
    <dataValidation type="list" allowBlank="1" showInputMessage="1" sqref="G24">
      <formula1>'2. Roster &amp; Roles'!$A$6:$A$25</formula1>
    </dataValidation>
    <dataValidation type="list" allowBlank="1" showInputMessage="1" sqref="G25">
      <formula1>'2. Roster &amp; Roles'!$A$6:$A$25</formula1>
    </dataValidation>
    <dataValidation type="list" allowBlank="1" showInputMessage="1" sqref="G26">
      <formula1>'2. Roster &amp; Roles'!$A$6:$A$25</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rgb="FFD4A843"/>
  </sheetPr>
  <dimension ref="A1:F35"/>
  <sheetViews>
    <sheetView showGridLines="0" workbookViewId="0"/>
  </sheetViews>
  <sheetFormatPr defaultRowHeight="15"/>
  <cols>
    <col min="1" max="1" width="3.7109375" customWidth="1"/>
    <col min="2" max="2" width="18.7109375" customWidth="1"/>
    <col min="3" max="3" width="30.7109375" customWidth="1"/>
    <col min="4" max="4" width="6.7109375" customWidth="1"/>
    <col min="5" max="5" width="18.7109375" customWidth="1"/>
    <col min="6" max="6" width="30.7109375" customWidth="1"/>
  </cols>
  <sheetData>
    <row r="1" spans="1:6" ht="36" customHeight="1">
      <c r="A1" s="1" t="s">
        <v>115</v>
      </c>
    </row>
    <row r="2" spans="1:6" ht="20" customHeight="1">
      <c r="A2" s="2" t="s">
        <v>116</v>
      </c>
    </row>
    <row r="4" spans="1:6" ht="38" customHeight="1">
      <c r="B4" s="27" t="s">
        <v>117</v>
      </c>
      <c r="C4" s="27"/>
      <c r="E4" s="28" t="s">
        <v>118</v>
      </c>
      <c r="F4" s="28"/>
    </row>
    <row r="6" spans="1:6" ht="28" customHeight="1">
      <c r="B6" s="29">
        <f>'3. Detailed Timetable'!B8</f>
        <v>0</v>
      </c>
      <c r="C6" s="30">
        <f>'3. Detailed Timetable'!E8</f>
        <v>0</v>
      </c>
      <c r="E6" s="29">
        <f>'3. Detailed Timetable'!B17</f>
        <v>0</v>
      </c>
      <c r="F6" s="30">
        <f>'3. Detailed Timetable'!E17</f>
        <v>0</v>
      </c>
    </row>
    <row r="7" spans="1:6" ht="18" customHeight="1">
      <c r="C7" s="31">
        <f>"Led by: "&amp;'3. Detailed Timetable'!G8</f>
        <v>0</v>
      </c>
      <c r="F7" s="31">
        <f>"Led by: "&amp;'3. Detailed Timetable'!G17</f>
        <v>0</v>
      </c>
    </row>
    <row r="8" spans="1:6" ht="6" customHeight="1">
      <c r="B8" s="32"/>
      <c r="C8" s="32"/>
      <c r="E8" s="32"/>
      <c r="F8" s="32"/>
    </row>
    <row r="9" spans="1:6" ht="28" customHeight="1">
      <c r="B9" s="29">
        <f>'3. Detailed Timetable'!B9</f>
        <v>0</v>
      </c>
      <c r="C9" s="30">
        <f>'3. Detailed Timetable'!E9</f>
        <v>0</v>
      </c>
      <c r="E9" s="29">
        <f>'3. Detailed Timetable'!B18</f>
        <v>0</v>
      </c>
      <c r="F9" s="30">
        <f>'3. Detailed Timetable'!E18</f>
        <v>0</v>
      </c>
    </row>
    <row r="10" spans="1:6" ht="18" customHeight="1">
      <c r="C10" s="31">
        <f>"Led by: "&amp;'3. Detailed Timetable'!G9</f>
        <v>0</v>
      </c>
      <c r="F10" s="31">
        <f>"Led by: "&amp;'3. Detailed Timetable'!G18</f>
        <v>0</v>
      </c>
    </row>
    <row r="11" spans="1:6" ht="6" customHeight="1">
      <c r="B11" s="32"/>
      <c r="C11" s="32"/>
      <c r="E11" s="32"/>
      <c r="F11" s="32"/>
    </row>
    <row r="12" spans="1:6" ht="28" customHeight="1">
      <c r="B12" s="29">
        <f>'3. Detailed Timetable'!B10</f>
        <v>0</v>
      </c>
      <c r="C12" s="30">
        <f>'3. Detailed Timetable'!E10</f>
        <v>0</v>
      </c>
      <c r="E12" s="29">
        <f>'3. Detailed Timetable'!B19</f>
        <v>0</v>
      </c>
      <c r="F12" s="30">
        <f>'3. Detailed Timetable'!E19</f>
        <v>0</v>
      </c>
    </row>
    <row r="13" spans="1:6" ht="18" customHeight="1">
      <c r="C13" s="31">
        <f>"Led by: "&amp;'3. Detailed Timetable'!G10</f>
        <v>0</v>
      </c>
      <c r="F13" s="31">
        <f>"Led by: "&amp;'3. Detailed Timetable'!G19</f>
        <v>0</v>
      </c>
    </row>
    <row r="14" spans="1:6" ht="6" customHeight="1">
      <c r="B14" s="32"/>
      <c r="C14" s="32"/>
      <c r="E14" s="32"/>
      <c r="F14" s="32"/>
    </row>
    <row r="15" spans="1:6" ht="28" customHeight="1">
      <c r="B15" s="29">
        <f>'3. Detailed Timetable'!B11</f>
        <v>0</v>
      </c>
      <c r="C15" s="30">
        <f>'3. Detailed Timetable'!E11</f>
        <v>0</v>
      </c>
      <c r="E15" s="29">
        <f>'3. Detailed Timetable'!B20</f>
        <v>0</v>
      </c>
      <c r="F15" s="30">
        <f>'3. Detailed Timetable'!E20</f>
        <v>0</v>
      </c>
    </row>
    <row r="16" spans="1:6" ht="18" customHeight="1">
      <c r="C16" s="31">
        <f>"Led by: "&amp;'3. Detailed Timetable'!G11</f>
        <v>0</v>
      </c>
      <c r="F16" s="31">
        <f>"Led by: "&amp;'3. Detailed Timetable'!G20</f>
        <v>0</v>
      </c>
    </row>
    <row r="17" spans="2:6" ht="6" customHeight="1">
      <c r="B17" s="32"/>
      <c r="C17" s="32"/>
      <c r="E17" s="32"/>
      <c r="F17" s="32"/>
    </row>
    <row r="18" spans="2:6" ht="28" customHeight="1">
      <c r="B18" s="29">
        <f>'3. Detailed Timetable'!B12</f>
        <v>0</v>
      </c>
      <c r="C18" s="30">
        <f>'3. Detailed Timetable'!E12</f>
        <v>0</v>
      </c>
      <c r="E18" s="29">
        <f>'3. Detailed Timetable'!B21</f>
        <v>0</v>
      </c>
      <c r="F18" s="30">
        <f>'3. Detailed Timetable'!E21</f>
        <v>0</v>
      </c>
    </row>
    <row r="19" spans="2:6" ht="18" customHeight="1">
      <c r="C19" s="31">
        <f>"Led by: "&amp;'3. Detailed Timetable'!G12</f>
        <v>0</v>
      </c>
      <c r="F19" s="31">
        <f>"Led by: "&amp;'3. Detailed Timetable'!G21</f>
        <v>0</v>
      </c>
    </row>
    <row r="20" spans="2:6" ht="6" customHeight="1">
      <c r="B20" s="32"/>
      <c r="C20" s="32"/>
      <c r="E20" s="32"/>
      <c r="F20" s="32"/>
    </row>
    <row r="21" spans="2:6" ht="28" customHeight="1">
      <c r="B21" s="29">
        <f>'3. Detailed Timetable'!B13</f>
        <v>0</v>
      </c>
      <c r="C21" s="30">
        <f>'3. Detailed Timetable'!E13</f>
        <v>0</v>
      </c>
      <c r="E21" s="29">
        <f>'3. Detailed Timetable'!B22</f>
        <v>0</v>
      </c>
      <c r="F21" s="30">
        <f>'3. Detailed Timetable'!E22</f>
        <v>0</v>
      </c>
    </row>
    <row r="22" spans="2:6" ht="18" customHeight="1">
      <c r="C22" s="31">
        <f>"Led by: "&amp;'3. Detailed Timetable'!G13</f>
        <v>0</v>
      </c>
      <c r="F22" s="31">
        <f>"Led by: "&amp;'3. Detailed Timetable'!G22</f>
        <v>0</v>
      </c>
    </row>
    <row r="23" spans="2:6" ht="6" customHeight="1">
      <c r="B23" s="32"/>
      <c r="C23" s="32"/>
      <c r="E23" s="32"/>
      <c r="F23" s="32"/>
    </row>
    <row r="24" spans="2:6" ht="28" customHeight="1">
      <c r="B24" s="29">
        <f>'3. Detailed Timetable'!B14</f>
        <v>0</v>
      </c>
      <c r="C24" s="30">
        <f>'3. Detailed Timetable'!E14</f>
        <v>0</v>
      </c>
      <c r="E24" s="29">
        <f>'3. Detailed Timetable'!B23</f>
        <v>0</v>
      </c>
      <c r="F24" s="30">
        <f>'3. Detailed Timetable'!E23</f>
        <v>0</v>
      </c>
    </row>
    <row r="25" spans="2:6" ht="18" customHeight="1">
      <c r="C25" s="31">
        <f>"Led by: "&amp;'3. Detailed Timetable'!G14</f>
        <v>0</v>
      </c>
      <c r="F25" s="31">
        <f>"Led by: "&amp;'3. Detailed Timetable'!G23</f>
        <v>0</v>
      </c>
    </row>
    <row r="26" spans="2:6" ht="6" customHeight="1">
      <c r="B26" s="32"/>
      <c r="C26" s="32"/>
      <c r="E26" s="32"/>
      <c r="F26" s="32"/>
    </row>
    <row r="27" spans="2:6" ht="28" customHeight="1">
      <c r="B27" s="29">
        <f>'3. Detailed Timetable'!B15</f>
        <v>0</v>
      </c>
      <c r="C27" s="30">
        <f>'3. Detailed Timetable'!E15</f>
        <v>0</v>
      </c>
      <c r="E27" s="29">
        <f>'3. Detailed Timetable'!B24</f>
        <v>0</v>
      </c>
      <c r="F27" s="30">
        <f>'3. Detailed Timetable'!E24</f>
        <v>0</v>
      </c>
    </row>
    <row r="28" spans="2:6" ht="18" customHeight="1">
      <c r="C28" s="31">
        <f>"Led by: "&amp;'3. Detailed Timetable'!G15</f>
        <v>0</v>
      </c>
      <c r="F28" s="31">
        <f>"Led by: "&amp;'3. Detailed Timetable'!G24</f>
        <v>0</v>
      </c>
    </row>
    <row r="29" spans="2:6" ht="6" customHeight="1">
      <c r="B29" s="32"/>
      <c r="C29" s="32"/>
      <c r="E29" s="32"/>
      <c r="F29" s="32"/>
    </row>
    <row r="30" spans="2:6" ht="28" customHeight="1">
      <c r="B30" s="29">
        <f>'3. Detailed Timetable'!B16</f>
        <v>0</v>
      </c>
      <c r="C30" s="30">
        <f>'3. Detailed Timetable'!E16</f>
        <v>0</v>
      </c>
      <c r="E30" s="29">
        <f>'3. Detailed Timetable'!B25</f>
        <v>0</v>
      </c>
      <c r="F30" s="30">
        <f>'3. Detailed Timetable'!E25</f>
        <v>0</v>
      </c>
    </row>
    <row r="31" spans="2:6" ht="18" customHeight="1">
      <c r="C31" s="31">
        <f>"Led by: "&amp;'3. Detailed Timetable'!G16</f>
        <v>0</v>
      </c>
      <c r="F31" s="31">
        <f>"Led by: "&amp;'3. Detailed Timetable'!G25</f>
        <v>0</v>
      </c>
    </row>
    <row r="32" spans="2:6" ht="6" customHeight="1">
      <c r="B32" s="32"/>
      <c r="C32" s="32"/>
      <c r="E32" s="32"/>
      <c r="F32" s="32"/>
    </row>
    <row r="33" spans="5:6" ht="28" customHeight="1">
      <c r="E33" s="29">
        <f>'3. Detailed Timetable'!B26</f>
        <v>0</v>
      </c>
      <c r="F33" s="30">
        <f>'3. Detailed Timetable'!E26</f>
        <v>0</v>
      </c>
    </row>
    <row r="34" spans="5:6" ht="18" customHeight="1">
      <c r="F34" s="31">
        <f>"Led by: "&amp;'3. Detailed Timetable'!G26</f>
        <v>0</v>
      </c>
    </row>
    <row r="35" spans="5:6" ht="6" customHeight="1">
      <c r="E35" s="32"/>
      <c r="F35" s="32"/>
    </row>
  </sheetData>
  <mergeCells count="2">
    <mergeCell ref="B4:C4"/>
    <mergeCell ref="E4:F4"/>
  </mergeCells>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rgb="FF1A7A6D"/>
  </sheetPr>
  <dimension ref="A1:E15"/>
  <sheetViews>
    <sheetView showGridLines="0" workbookViewId="0"/>
  </sheetViews>
  <sheetFormatPr defaultRowHeight="15"/>
  <cols>
    <col min="1" max="1" width="22.7109375" customWidth="1"/>
    <col min="2" max="2" width="55.7109375" customWidth="1"/>
    <col min="3" max="3" width="24.7109375" customWidth="1"/>
    <col min="4" max="4" width="15.7109375" customWidth="1"/>
    <col min="5" max="5" width="35.7109375" customWidth="1"/>
  </cols>
  <sheetData>
    <row r="1" spans="1:5" ht="36" customHeight="1">
      <c r="A1" s="1" t="s">
        <v>119</v>
      </c>
    </row>
    <row r="2" spans="1:5" ht="20" customHeight="1">
      <c r="A2" s="2" t="s">
        <v>120</v>
      </c>
    </row>
    <row r="4" spans="1:5" ht="28" customHeight="1">
      <c r="A4" s="3" t="s">
        <v>121</v>
      </c>
      <c r="B4" s="3"/>
      <c r="C4" s="3"/>
      <c r="D4" s="3"/>
      <c r="E4" s="3"/>
    </row>
    <row r="5" spans="1:5" ht="26" customHeight="1">
      <c r="A5" s="6" t="s">
        <v>122</v>
      </c>
      <c r="B5" s="6" t="s">
        <v>123</v>
      </c>
      <c r="C5" s="6" t="s">
        <v>64</v>
      </c>
      <c r="D5" s="6" t="s">
        <v>124</v>
      </c>
      <c r="E5" s="6" t="s">
        <v>125</v>
      </c>
    </row>
    <row r="6" spans="1:5" ht="28" customHeight="1">
      <c r="A6" s="4" t="s">
        <v>126</v>
      </c>
      <c r="B6" s="4" t="s">
        <v>127</v>
      </c>
      <c r="C6" s="13" t="s">
        <v>44</v>
      </c>
      <c r="D6" s="8" t="s">
        <v>128</v>
      </c>
      <c r="E6" s="4"/>
    </row>
    <row r="7" spans="1:5" ht="28" customHeight="1">
      <c r="A7" s="7" t="s">
        <v>126</v>
      </c>
      <c r="B7" s="7" t="s">
        <v>129</v>
      </c>
      <c r="C7" s="16" t="s">
        <v>34</v>
      </c>
      <c r="D7" s="9" t="s">
        <v>128</v>
      </c>
      <c r="E7" s="7"/>
    </row>
    <row r="8" spans="1:5" ht="28" customHeight="1">
      <c r="A8" s="4" t="s">
        <v>126</v>
      </c>
      <c r="B8" s="4" t="s">
        <v>130</v>
      </c>
      <c r="C8" s="13" t="s">
        <v>42</v>
      </c>
      <c r="D8" s="8" t="s">
        <v>128</v>
      </c>
      <c r="E8" s="4"/>
    </row>
    <row r="9" spans="1:5" ht="28" customHeight="1">
      <c r="A9" s="7" t="s">
        <v>126</v>
      </c>
      <c r="B9" s="7" t="s">
        <v>131</v>
      </c>
      <c r="C9" s="16" t="s">
        <v>44</v>
      </c>
      <c r="D9" s="9" t="s">
        <v>128</v>
      </c>
      <c r="E9" s="7"/>
    </row>
    <row r="10" spans="1:5" ht="28" customHeight="1">
      <c r="A10" s="4" t="s">
        <v>126</v>
      </c>
      <c r="B10" s="4" t="s">
        <v>132</v>
      </c>
      <c r="C10" s="13" t="s">
        <v>36</v>
      </c>
      <c r="D10" s="8" t="s">
        <v>128</v>
      </c>
      <c r="E10" s="4"/>
    </row>
    <row r="11" spans="1:5" ht="28" customHeight="1">
      <c r="A11" s="7" t="s">
        <v>126</v>
      </c>
      <c r="B11" s="7" t="s">
        <v>133</v>
      </c>
      <c r="C11" s="16" t="s">
        <v>36</v>
      </c>
      <c r="D11" s="9" t="s">
        <v>128</v>
      </c>
      <c r="E11" s="7"/>
    </row>
    <row r="12" spans="1:5" ht="28" customHeight="1">
      <c r="A12" s="4" t="s">
        <v>126</v>
      </c>
      <c r="B12" s="4" t="s">
        <v>134</v>
      </c>
      <c r="C12" s="13" t="s">
        <v>38</v>
      </c>
      <c r="D12" s="8" t="s">
        <v>128</v>
      </c>
      <c r="E12" s="4"/>
    </row>
    <row r="13" spans="1:5" ht="28" customHeight="1">
      <c r="A13" s="7" t="s">
        <v>126</v>
      </c>
      <c r="B13" s="7" t="s">
        <v>135</v>
      </c>
      <c r="C13" s="16" t="s">
        <v>38</v>
      </c>
      <c r="D13" s="9" t="s">
        <v>128</v>
      </c>
      <c r="E13" s="7"/>
    </row>
    <row r="14" spans="1:5" ht="28" customHeight="1">
      <c r="A14" s="4" t="s">
        <v>126</v>
      </c>
      <c r="B14" s="4" t="s">
        <v>136</v>
      </c>
      <c r="C14" s="13" t="s">
        <v>44</v>
      </c>
      <c r="D14" s="8" t="s">
        <v>128</v>
      </c>
      <c r="E14" s="4"/>
    </row>
    <row r="15" spans="1:5" ht="28" customHeight="1">
      <c r="A15" s="7" t="s">
        <v>126</v>
      </c>
      <c r="B15" s="7" t="s">
        <v>137</v>
      </c>
      <c r="C15" s="16" t="s">
        <v>53</v>
      </c>
      <c r="D15" s="9" t="s">
        <v>128</v>
      </c>
      <c r="E15" s="7"/>
    </row>
  </sheetData>
  <mergeCells count="1">
    <mergeCell ref="A4:E4"/>
  </mergeCells>
  <dataValidations count="20">
    <dataValidation type="list" allowBlank="1" showInputMessage="1" sqref="C6">
      <formula1>'2. Roster &amp; Roles'!$A$6:$A$25</formula1>
    </dataValidation>
    <dataValidation type="list" allowBlank="1" showInputMessage="1" showErrorMessage="1" sqref="D6">
      <formula1>"Not Started,Pending,Done"</formula1>
    </dataValidation>
    <dataValidation type="list" allowBlank="1" showInputMessage="1" sqref="C7">
      <formula1>'2. Roster &amp; Roles'!$A$6:$A$25</formula1>
    </dataValidation>
    <dataValidation type="list" allowBlank="1" showInputMessage="1" showErrorMessage="1" sqref="D7">
      <formula1>"Not Started,Pending,Done"</formula1>
    </dataValidation>
    <dataValidation type="list" allowBlank="1" showInputMessage="1" sqref="C8">
      <formula1>'2. Roster &amp; Roles'!$A$6:$A$25</formula1>
    </dataValidation>
    <dataValidation type="list" allowBlank="1" showInputMessage="1" showErrorMessage="1" sqref="D8">
      <formula1>"Not Started,Pending,Done"</formula1>
    </dataValidation>
    <dataValidation type="list" allowBlank="1" showInputMessage="1" sqref="C9">
      <formula1>'2. Roster &amp; Roles'!$A$6:$A$25</formula1>
    </dataValidation>
    <dataValidation type="list" allowBlank="1" showInputMessage="1" showErrorMessage="1" sqref="D9">
      <formula1>"Not Started,Pending,Done"</formula1>
    </dataValidation>
    <dataValidation type="list" allowBlank="1" showInputMessage="1" sqref="C10">
      <formula1>'2. Roster &amp; Roles'!$A$6:$A$25</formula1>
    </dataValidation>
    <dataValidation type="list" allowBlank="1" showInputMessage="1" showErrorMessage="1" sqref="D10">
      <formula1>"Not Started,Pending,Done"</formula1>
    </dataValidation>
    <dataValidation type="list" allowBlank="1" showInputMessage="1" sqref="C11">
      <formula1>'2. Roster &amp; Roles'!$A$6:$A$25</formula1>
    </dataValidation>
    <dataValidation type="list" allowBlank="1" showInputMessage="1" showErrorMessage="1" sqref="D11">
      <formula1>"Not Started,Pending,Done"</formula1>
    </dataValidation>
    <dataValidation type="list" allowBlank="1" showInputMessage="1" sqref="C12">
      <formula1>'2. Roster &amp; Roles'!$A$6:$A$25</formula1>
    </dataValidation>
    <dataValidation type="list" allowBlank="1" showInputMessage="1" showErrorMessage="1" sqref="D12">
      <formula1>"Not Started,Pending,Done"</formula1>
    </dataValidation>
    <dataValidation type="list" allowBlank="1" showInputMessage="1" sqref="C13">
      <formula1>'2. Roster &amp; Roles'!$A$6:$A$25</formula1>
    </dataValidation>
    <dataValidation type="list" allowBlank="1" showInputMessage="1" showErrorMessage="1" sqref="D13">
      <formula1>"Not Started,Pending,Done"</formula1>
    </dataValidation>
    <dataValidation type="list" allowBlank="1" showInputMessage="1" sqref="C14">
      <formula1>'2. Roster &amp; Roles'!$A$6:$A$25</formula1>
    </dataValidation>
    <dataValidation type="list" allowBlank="1" showInputMessage="1" showErrorMessage="1" sqref="D14">
      <formula1>"Not Started,Pending,Done"</formula1>
    </dataValidation>
    <dataValidation type="list" allowBlank="1" showInputMessage="1" sqref="C15">
      <formula1>'2. Roster &amp; Roles'!$A$6:$A$25</formula1>
    </dataValidation>
    <dataValidation type="list" allowBlank="1" showInputMessage="1" showErrorMessage="1" sqref="D15">
      <formula1>"Not Started,Pending,Done"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rgb="FF3D5A80"/>
  </sheetPr>
  <dimension ref="A1:E30"/>
  <sheetViews>
    <sheetView showGridLines="0" workbookViewId="0"/>
  </sheetViews>
  <sheetFormatPr defaultRowHeight="15"/>
  <cols>
    <col min="1" max="1" width="30.7109375" customWidth="1"/>
    <col min="2" max="2" width="12.7109375" customWidth="1"/>
    <col min="3" max="3" width="24.7109375" customWidth="1"/>
    <col min="4" max="4" width="14.7109375" customWidth="1"/>
    <col min="5" max="5" width="35.7109375" customWidth="1"/>
  </cols>
  <sheetData>
    <row r="1" spans="1:5" ht="36" customHeight="1">
      <c r="A1" s="1" t="s">
        <v>138</v>
      </c>
    </row>
    <row r="2" spans="1:5" ht="20" customHeight="1">
      <c r="A2" s="2" t="s">
        <v>139</v>
      </c>
    </row>
    <row r="4" spans="1:5" ht="28" customHeight="1">
      <c r="A4" s="3" t="s">
        <v>140</v>
      </c>
      <c r="B4" s="3"/>
      <c r="C4" s="3"/>
      <c r="D4" s="3"/>
      <c r="E4" s="3"/>
    </row>
    <row r="5" spans="1:5" ht="26" customHeight="1">
      <c r="A5" s="6" t="s">
        <v>141</v>
      </c>
      <c r="B5" s="6" t="s">
        <v>142</v>
      </c>
      <c r="C5" s="6" t="s">
        <v>64</v>
      </c>
      <c r="D5" s="6" t="s">
        <v>124</v>
      </c>
      <c r="E5" s="6" t="s">
        <v>125</v>
      </c>
    </row>
    <row r="6" spans="1:5" ht="24" customHeight="1">
      <c r="A6" s="4" t="s">
        <v>143</v>
      </c>
      <c r="B6" s="8">
        <v>1</v>
      </c>
      <c r="C6" s="13" t="s">
        <v>36</v>
      </c>
      <c r="D6" s="8" t="s">
        <v>144</v>
      </c>
      <c r="E6" s="4"/>
    </row>
    <row r="7" spans="1:5" ht="24" customHeight="1">
      <c r="A7" s="7" t="s">
        <v>145</v>
      </c>
      <c r="B7" s="9">
        <v>2</v>
      </c>
      <c r="C7" s="16" t="s">
        <v>36</v>
      </c>
      <c r="D7" s="9" t="s">
        <v>144</v>
      </c>
      <c r="E7" s="7"/>
    </row>
    <row r="8" spans="1:5" ht="24" customHeight="1">
      <c r="A8" s="4" t="s">
        <v>146</v>
      </c>
      <c r="B8" s="8">
        <v>5</v>
      </c>
      <c r="C8" s="13" t="s">
        <v>36</v>
      </c>
      <c r="D8" s="8" t="s">
        <v>144</v>
      </c>
      <c r="E8" s="4"/>
    </row>
    <row r="9" spans="1:5" ht="24" customHeight="1">
      <c r="A9" s="7" t="s">
        <v>147</v>
      </c>
      <c r="B9" s="9">
        <v>5</v>
      </c>
      <c r="C9" s="16" t="s">
        <v>36</v>
      </c>
      <c r="D9" s="9" t="s">
        <v>144</v>
      </c>
      <c r="E9" s="7"/>
    </row>
    <row r="10" spans="1:5" ht="24" customHeight="1">
      <c r="A10" s="4" t="s">
        <v>148</v>
      </c>
      <c r="B10" s="8">
        <v>1</v>
      </c>
      <c r="C10" s="13" t="s">
        <v>36</v>
      </c>
      <c r="D10" s="8" t="s">
        <v>144</v>
      </c>
      <c r="E10" s="4"/>
    </row>
    <row r="11" spans="1:5" ht="24" customHeight="1">
      <c r="A11" s="7" t="s">
        <v>149</v>
      </c>
      <c r="B11" s="9">
        <v>4</v>
      </c>
      <c r="C11" s="16" t="s">
        <v>42</v>
      </c>
      <c r="D11" s="9" t="s">
        <v>144</v>
      </c>
      <c r="E11" s="7"/>
    </row>
    <row r="12" spans="1:5" ht="24" customHeight="1">
      <c r="A12" s="4" t="s">
        <v>150</v>
      </c>
      <c r="B12" s="8">
        <v>5</v>
      </c>
      <c r="C12" s="13" t="s">
        <v>36</v>
      </c>
      <c r="D12" s="8" t="s">
        <v>144</v>
      </c>
      <c r="E12" s="4"/>
    </row>
    <row r="13" spans="1:5" ht="24" customHeight="1">
      <c r="A13" s="7" t="s">
        <v>151</v>
      </c>
      <c r="B13" s="9">
        <v>1</v>
      </c>
      <c r="C13" s="16" t="s">
        <v>36</v>
      </c>
      <c r="D13" s="9" t="s">
        <v>144</v>
      </c>
      <c r="E13" s="7"/>
    </row>
    <row r="14" spans="1:5" ht="24" customHeight="1">
      <c r="A14" s="4" t="s">
        <v>152</v>
      </c>
      <c r="B14" s="8">
        <v>1</v>
      </c>
      <c r="C14" s="13" t="s">
        <v>36</v>
      </c>
      <c r="D14" s="8" t="s">
        <v>144</v>
      </c>
      <c r="E14" s="4"/>
    </row>
    <row r="15" spans="1:5" ht="24" customHeight="1">
      <c r="A15" s="7" t="s">
        <v>153</v>
      </c>
      <c r="B15" s="9">
        <v>2</v>
      </c>
      <c r="C15" s="16" t="s">
        <v>36</v>
      </c>
      <c r="D15" s="9" t="s">
        <v>144</v>
      </c>
      <c r="E15" s="7"/>
    </row>
    <row r="16" spans="1:5" ht="24" customHeight="1">
      <c r="A16" s="4" t="s">
        <v>154</v>
      </c>
      <c r="B16" s="8">
        <v>1</v>
      </c>
      <c r="C16" s="13" t="s">
        <v>36</v>
      </c>
      <c r="D16" s="8" t="s">
        <v>144</v>
      </c>
      <c r="E16" s="4"/>
    </row>
    <row r="17" spans="1:5" ht="24" customHeight="1">
      <c r="A17" s="7" t="s">
        <v>155</v>
      </c>
      <c r="B17" s="9">
        <v>2</v>
      </c>
      <c r="C17" s="16" t="s">
        <v>36</v>
      </c>
      <c r="D17" s="9" t="s">
        <v>144</v>
      </c>
      <c r="E17" s="7"/>
    </row>
    <row r="18" spans="1:5" ht="24" customHeight="1">
      <c r="A18" s="4" t="s">
        <v>156</v>
      </c>
      <c r="B18" s="8">
        <v>1</v>
      </c>
      <c r="C18" s="13" t="s">
        <v>36</v>
      </c>
      <c r="D18" s="8" t="s">
        <v>144</v>
      </c>
      <c r="E18" s="4"/>
    </row>
    <row r="19" spans="1:5" ht="24" customHeight="1">
      <c r="A19" s="7" t="s">
        <v>157</v>
      </c>
      <c r="B19" s="9">
        <v>1</v>
      </c>
      <c r="C19" s="16" t="s">
        <v>36</v>
      </c>
      <c r="D19" s="9" t="s">
        <v>144</v>
      </c>
      <c r="E19" s="7"/>
    </row>
    <row r="20" spans="1:5" ht="24" customHeight="1">
      <c r="A20" s="4" t="s">
        <v>158</v>
      </c>
      <c r="B20" s="8">
        <v>1</v>
      </c>
      <c r="C20" s="13" t="s">
        <v>42</v>
      </c>
      <c r="D20" s="8" t="s">
        <v>144</v>
      </c>
      <c r="E20" s="4"/>
    </row>
    <row r="21" spans="1:5" ht="24" customHeight="1">
      <c r="A21" s="7" t="s">
        <v>159</v>
      </c>
      <c r="B21" s="9">
        <v>1</v>
      </c>
      <c r="C21" s="16" t="s">
        <v>36</v>
      </c>
      <c r="D21" s="9" t="s">
        <v>144</v>
      </c>
      <c r="E21" s="7"/>
    </row>
    <row r="22" spans="1:5" ht="24" customHeight="1">
      <c r="A22" s="4" t="s">
        <v>160</v>
      </c>
      <c r="B22" s="8">
        <v>1</v>
      </c>
      <c r="C22" s="13" t="s">
        <v>34</v>
      </c>
      <c r="D22" s="8" t="s">
        <v>144</v>
      </c>
      <c r="E22" s="4"/>
    </row>
    <row r="23" spans="1:5" ht="24" customHeight="1">
      <c r="A23" s="7" t="s">
        <v>161</v>
      </c>
      <c r="B23" s="9">
        <v>4</v>
      </c>
      <c r="C23" s="16" t="s">
        <v>42</v>
      </c>
      <c r="D23" s="9" t="s">
        <v>144</v>
      </c>
      <c r="E23" s="7"/>
    </row>
    <row r="24" spans="1:5" ht="24" customHeight="1">
      <c r="A24" s="4" t="s">
        <v>162</v>
      </c>
      <c r="B24" s="8">
        <v>1</v>
      </c>
      <c r="C24" s="13" t="s">
        <v>42</v>
      </c>
      <c r="D24" s="8" t="s">
        <v>144</v>
      </c>
      <c r="E24" s="4"/>
    </row>
    <row r="25" spans="1:5" ht="24" customHeight="1">
      <c r="A25" s="7" t="s">
        <v>163</v>
      </c>
      <c r="B25" s="9">
        <v>1</v>
      </c>
      <c r="C25" s="16" t="s">
        <v>36</v>
      </c>
      <c r="D25" s="9" t="s">
        <v>144</v>
      </c>
      <c r="E25" s="7"/>
    </row>
    <row r="26" spans="1:5" ht="24" customHeight="1">
      <c r="A26" s="4" t="s">
        <v>164</v>
      </c>
      <c r="B26" s="8">
        <v>1</v>
      </c>
      <c r="C26" s="13" t="s">
        <v>36</v>
      </c>
      <c r="D26" s="8" t="s">
        <v>144</v>
      </c>
      <c r="E26" s="4"/>
    </row>
    <row r="27" spans="1:5" ht="24" customHeight="1">
      <c r="A27" s="7" t="s">
        <v>165</v>
      </c>
      <c r="B27" s="9">
        <v>1</v>
      </c>
      <c r="C27" s="16" t="s">
        <v>36</v>
      </c>
      <c r="D27" s="9" t="s">
        <v>144</v>
      </c>
      <c r="E27" s="7"/>
    </row>
    <row r="28" spans="1:5" ht="24" customHeight="1">
      <c r="A28" s="4" t="s">
        <v>166</v>
      </c>
      <c r="B28" s="8">
        <v>6</v>
      </c>
      <c r="C28" s="13" t="s">
        <v>36</v>
      </c>
      <c r="D28" s="8" t="s">
        <v>144</v>
      </c>
      <c r="E28" s="4"/>
    </row>
    <row r="29" spans="1:5" ht="24" customHeight="1">
      <c r="A29" s="7" t="s">
        <v>167</v>
      </c>
      <c r="B29" s="9">
        <v>1</v>
      </c>
      <c r="C29" s="16" t="s">
        <v>36</v>
      </c>
      <c r="D29" s="9" t="s">
        <v>144</v>
      </c>
      <c r="E29" s="7"/>
    </row>
    <row r="30" spans="1:5" ht="24" customHeight="1">
      <c r="A30" s="4" t="s">
        <v>168</v>
      </c>
      <c r="B30" s="8">
        <v>1</v>
      </c>
      <c r="C30" s="13" t="s">
        <v>36</v>
      </c>
      <c r="D30" s="8" t="s">
        <v>144</v>
      </c>
      <c r="E30" s="4"/>
    </row>
  </sheetData>
  <mergeCells count="1">
    <mergeCell ref="A4:E4"/>
  </mergeCells>
  <dataValidations count="50">
    <dataValidation type="list" allowBlank="1" showInputMessage="1" sqref="C6">
      <formula1>'2. Roster &amp; Roles'!$A$6:$A$25</formula1>
    </dataValidation>
    <dataValidation type="list" allowBlank="1" showInputMessage="1" showErrorMessage="1" sqref="D6">
      <formula1>"To Buy,Pending,Packed"</formula1>
    </dataValidation>
    <dataValidation type="list" allowBlank="1" showInputMessage="1" sqref="C7">
      <formula1>'2. Roster &amp; Roles'!$A$6:$A$25</formula1>
    </dataValidation>
    <dataValidation type="list" allowBlank="1" showInputMessage="1" showErrorMessage="1" sqref="D7">
      <formula1>"To Buy,Pending,Packed"</formula1>
    </dataValidation>
    <dataValidation type="list" allowBlank="1" showInputMessage="1" sqref="C8">
      <formula1>'2. Roster &amp; Roles'!$A$6:$A$25</formula1>
    </dataValidation>
    <dataValidation type="list" allowBlank="1" showInputMessage="1" showErrorMessage="1" sqref="D8">
      <formula1>"To Buy,Pending,Packed"</formula1>
    </dataValidation>
    <dataValidation type="list" allowBlank="1" showInputMessage="1" sqref="C9">
      <formula1>'2. Roster &amp; Roles'!$A$6:$A$25</formula1>
    </dataValidation>
    <dataValidation type="list" allowBlank="1" showInputMessage="1" showErrorMessage="1" sqref="D9">
      <formula1>"To Buy,Pending,Packed"</formula1>
    </dataValidation>
    <dataValidation type="list" allowBlank="1" showInputMessage="1" sqref="C10">
      <formula1>'2. Roster &amp; Roles'!$A$6:$A$25</formula1>
    </dataValidation>
    <dataValidation type="list" allowBlank="1" showInputMessage="1" showErrorMessage="1" sqref="D10">
      <formula1>"To Buy,Pending,Packed"</formula1>
    </dataValidation>
    <dataValidation type="list" allowBlank="1" showInputMessage="1" sqref="C11">
      <formula1>'2. Roster &amp; Roles'!$A$6:$A$25</formula1>
    </dataValidation>
    <dataValidation type="list" allowBlank="1" showInputMessage="1" showErrorMessage="1" sqref="D11">
      <formula1>"To Buy,Pending,Packed"</formula1>
    </dataValidation>
    <dataValidation type="list" allowBlank="1" showInputMessage="1" sqref="C12">
      <formula1>'2. Roster &amp; Roles'!$A$6:$A$25</formula1>
    </dataValidation>
    <dataValidation type="list" allowBlank="1" showInputMessage="1" showErrorMessage="1" sqref="D12">
      <formula1>"To Buy,Pending,Packed"</formula1>
    </dataValidation>
    <dataValidation type="list" allowBlank="1" showInputMessage="1" sqref="C13">
      <formula1>'2. Roster &amp; Roles'!$A$6:$A$25</formula1>
    </dataValidation>
    <dataValidation type="list" allowBlank="1" showInputMessage="1" showErrorMessage="1" sqref="D13">
      <formula1>"To Buy,Pending,Packed"</formula1>
    </dataValidation>
    <dataValidation type="list" allowBlank="1" showInputMessage="1" sqref="C14">
      <formula1>'2. Roster &amp; Roles'!$A$6:$A$25</formula1>
    </dataValidation>
    <dataValidation type="list" allowBlank="1" showInputMessage="1" showErrorMessage="1" sqref="D14">
      <formula1>"To Buy,Pending,Packed"</formula1>
    </dataValidation>
    <dataValidation type="list" allowBlank="1" showInputMessage="1" sqref="C15">
      <formula1>'2. Roster &amp; Roles'!$A$6:$A$25</formula1>
    </dataValidation>
    <dataValidation type="list" allowBlank="1" showInputMessage="1" showErrorMessage="1" sqref="D15">
      <formula1>"To Buy,Pending,Packed"</formula1>
    </dataValidation>
    <dataValidation type="list" allowBlank="1" showInputMessage="1" sqref="C16">
      <formula1>'2. Roster &amp; Roles'!$A$6:$A$25</formula1>
    </dataValidation>
    <dataValidation type="list" allowBlank="1" showInputMessage="1" showErrorMessage="1" sqref="D16">
      <formula1>"To Buy,Pending,Packed"</formula1>
    </dataValidation>
    <dataValidation type="list" allowBlank="1" showInputMessage="1" sqref="C17">
      <formula1>'2. Roster &amp; Roles'!$A$6:$A$25</formula1>
    </dataValidation>
    <dataValidation type="list" allowBlank="1" showInputMessage="1" showErrorMessage="1" sqref="D17">
      <formula1>"To Buy,Pending,Packed"</formula1>
    </dataValidation>
    <dataValidation type="list" allowBlank="1" showInputMessage="1" sqref="C18">
      <formula1>'2. Roster &amp; Roles'!$A$6:$A$25</formula1>
    </dataValidation>
    <dataValidation type="list" allowBlank="1" showInputMessage="1" showErrorMessage="1" sqref="D18">
      <formula1>"To Buy,Pending,Packed"</formula1>
    </dataValidation>
    <dataValidation type="list" allowBlank="1" showInputMessage="1" sqref="C19">
      <formula1>'2. Roster &amp; Roles'!$A$6:$A$25</formula1>
    </dataValidation>
    <dataValidation type="list" allowBlank="1" showInputMessage="1" showErrorMessage="1" sqref="D19">
      <formula1>"To Buy,Pending,Packed"</formula1>
    </dataValidation>
    <dataValidation type="list" allowBlank="1" showInputMessage="1" sqref="C20">
      <formula1>'2. Roster &amp; Roles'!$A$6:$A$25</formula1>
    </dataValidation>
    <dataValidation type="list" allowBlank="1" showInputMessage="1" showErrorMessage="1" sqref="D20">
      <formula1>"To Buy,Pending,Packed"</formula1>
    </dataValidation>
    <dataValidation type="list" allowBlank="1" showInputMessage="1" sqref="C21">
      <formula1>'2. Roster &amp; Roles'!$A$6:$A$25</formula1>
    </dataValidation>
    <dataValidation type="list" allowBlank="1" showInputMessage="1" showErrorMessage="1" sqref="D21">
      <formula1>"To Buy,Pending,Packed"</formula1>
    </dataValidation>
    <dataValidation type="list" allowBlank="1" showInputMessage="1" sqref="C22">
      <formula1>'2. Roster &amp; Roles'!$A$6:$A$25</formula1>
    </dataValidation>
    <dataValidation type="list" allowBlank="1" showInputMessage="1" showErrorMessage="1" sqref="D22">
      <formula1>"To Buy,Pending,Packed"</formula1>
    </dataValidation>
    <dataValidation type="list" allowBlank="1" showInputMessage="1" sqref="C23">
      <formula1>'2. Roster &amp; Roles'!$A$6:$A$25</formula1>
    </dataValidation>
    <dataValidation type="list" allowBlank="1" showInputMessage="1" showErrorMessage="1" sqref="D23">
      <formula1>"To Buy,Pending,Packed"</formula1>
    </dataValidation>
    <dataValidation type="list" allowBlank="1" showInputMessage="1" sqref="C24">
      <formula1>'2. Roster &amp; Roles'!$A$6:$A$25</formula1>
    </dataValidation>
    <dataValidation type="list" allowBlank="1" showInputMessage="1" showErrorMessage="1" sqref="D24">
      <formula1>"To Buy,Pending,Packed"</formula1>
    </dataValidation>
    <dataValidation type="list" allowBlank="1" showInputMessage="1" sqref="C25">
      <formula1>'2. Roster &amp; Roles'!$A$6:$A$25</formula1>
    </dataValidation>
    <dataValidation type="list" allowBlank="1" showInputMessage="1" showErrorMessage="1" sqref="D25">
      <formula1>"To Buy,Pending,Packed"</formula1>
    </dataValidation>
    <dataValidation type="list" allowBlank="1" showInputMessage="1" sqref="C26">
      <formula1>'2. Roster &amp; Roles'!$A$6:$A$25</formula1>
    </dataValidation>
    <dataValidation type="list" allowBlank="1" showInputMessage="1" showErrorMessage="1" sqref="D26">
      <formula1>"To Buy,Pending,Packed"</formula1>
    </dataValidation>
    <dataValidation type="list" allowBlank="1" showInputMessage="1" sqref="C27">
      <formula1>'2. Roster &amp; Roles'!$A$6:$A$25</formula1>
    </dataValidation>
    <dataValidation type="list" allowBlank="1" showInputMessage="1" showErrorMessage="1" sqref="D27">
      <formula1>"To Buy,Pending,Packed"</formula1>
    </dataValidation>
    <dataValidation type="list" allowBlank="1" showInputMessage="1" sqref="C28">
      <formula1>'2. Roster &amp; Roles'!$A$6:$A$25</formula1>
    </dataValidation>
    <dataValidation type="list" allowBlank="1" showInputMessage="1" showErrorMessage="1" sqref="D28">
      <formula1>"To Buy,Pending,Packed"</formula1>
    </dataValidation>
    <dataValidation type="list" allowBlank="1" showInputMessage="1" sqref="C29">
      <formula1>'2. Roster &amp; Roles'!$A$6:$A$25</formula1>
    </dataValidation>
    <dataValidation type="list" allowBlank="1" showInputMessage="1" showErrorMessage="1" sqref="D29">
      <formula1>"To Buy,Pending,Packed"</formula1>
    </dataValidation>
    <dataValidation type="list" allowBlank="1" showInputMessage="1" sqref="C30">
      <formula1>'2. Roster &amp; Roles'!$A$6:$A$25</formula1>
    </dataValidation>
    <dataValidation type="list" allowBlank="1" showInputMessage="1" showErrorMessage="1" sqref="D30">
      <formula1>"To Buy,Pending,Packed"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1A7A6D"/>
  </sheetPr>
  <dimension ref="A1:G20"/>
  <sheetViews>
    <sheetView showGridLines="0" workbookViewId="0"/>
  </sheetViews>
  <sheetFormatPr defaultRowHeight="15"/>
  <cols>
    <col min="1" max="1" width="32.7109375" customWidth="1"/>
    <col min="2" max="3" width="16.7109375" customWidth="1"/>
    <col min="4" max="4" width="20.7109375" customWidth="1"/>
    <col min="5" max="5" width="24.7109375" customWidth="1"/>
    <col min="6" max="6" width="14.7109375" customWidth="1"/>
    <col min="7" max="7" width="35.7109375" customWidth="1"/>
  </cols>
  <sheetData>
    <row r="1" spans="1:7" ht="36" customHeight="1">
      <c r="A1" s="1" t="s">
        <v>169</v>
      </c>
    </row>
    <row r="2" spans="1:7" ht="20" customHeight="1">
      <c r="A2" s="2" t="s">
        <v>170</v>
      </c>
    </row>
    <row r="4" spans="1:7" ht="28" customHeight="1">
      <c r="A4" s="3" t="s">
        <v>171</v>
      </c>
      <c r="B4" s="3"/>
      <c r="C4" s="3"/>
      <c r="D4" s="3"/>
      <c r="E4" s="3"/>
      <c r="F4" s="3"/>
      <c r="G4" s="3"/>
    </row>
    <row r="5" spans="1:7" ht="26" customHeight="1">
      <c r="A5" s="6" t="s">
        <v>141</v>
      </c>
      <c r="B5" s="6" t="s">
        <v>172</v>
      </c>
      <c r="C5" s="6" t="s">
        <v>173</v>
      </c>
      <c r="D5" s="6" t="s">
        <v>174</v>
      </c>
      <c r="E5" s="6" t="s">
        <v>64</v>
      </c>
      <c r="F5" s="6" t="s">
        <v>124</v>
      </c>
      <c r="G5" s="6" t="s">
        <v>125</v>
      </c>
    </row>
    <row r="6" spans="1:7" ht="24" customHeight="1">
      <c r="A6" s="4" t="s">
        <v>175</v>
      </c>
      <c r="B6" s="14" t="s">
        <v>176</v>
      </c>
      <c r="C6" s="11" t="s">
        <v>177</v>
      </c>
      <c r="D6" s="12" t="s">
        <v>93</v>
      </c>
      <c r="E6" s="13" t="s">
        <v>38</v>
      </c>
      <c r="F6" s="8" t="s">
        <v>144</v>
      </c>
      <c r="G6" s="4"/>
    </row>
    <row r="7" spans="1:7" ht="24" customHeight="1">
      <c r="A7" s="7" t="s">
        <v>178</v>
      </c>
      <c r="B7" s="14" t="s">
        <v>176</v>
      </c>
      <c r="C7" s="11" t="s">
        <v>177</v>
      </c>
      <c r="D7" s="15" t="s">
        <v>93</v>
      </c>
      <c r="E7" s="16" t="s">
        <v>36</v>
      </c>
      <c r="F7" s="9" t="s">
        <v>144</v>
      </c>
      <c r="G7" s="7"/>
    </row>
    <row r="8" spans="1:7" ht="24" customHeight="1">
      <c r="A8" s="4" t="s">
        <v>179</v>
      </c>
      <c r="B8" s="14" t="s">
        <v>176</v>
      </c>
      <c r="C8" s="11" t="s">
        <v>177</v>
      </c>
      <c r="D8" s="12" t="s">
        <v>93</v>
      </c>
      <c r="E8" s="13" t="s">
        <v>36</v>
      </c>
      <c r="F8" s="8" t="s">
        <v>144</v>
      </c>
      <c r="G8" s="4"/>
    </row>
    <row r="9" spans="1:7" ht="24" customHeight="1">
      <c r="A9" s="7" t="s">
        <v>180</v>
      </c>
      <c r="B9" s="14" t="s">
        <v>176</v>
      </c>
      <c r="C9" s="11" t="s">
        <v>177</v>
      </c>
      <c r="D9" s="15" t="s">
        <v>93</v>
      </c>
      <c r="E9" s="16" t="s">
        <v>38</v>
      </c>
      <c r="F9" s="9" t="s">
        <v>144</v>
      </c>
      <c r="G9" s="7"/>
    </row>
    <row r="10" spans="1:7" ht="24" customHeight="1">
      <c r="A10" s="4" t="s">
        <v>181</v>
      </c>
      <c r="B10" s="14" t="s">
        <v>182</v>
      </c>
      <c r="C10" s="11">
        <f>'1. Settings &amp; Leaders'!$B$5</f>
        <v>0</v>
      </c>
      <c r="D10" s="12" t="s">
        <v>80</v>
      </c>
      <c r="E10" s="13" t="s">
        <v>38</v>
      </c>
      <c r="F10" s="8" t="s">
        <v>144</v>
      </c>
      <c r="G10" s="4"/>
    </row>
    <row r="11" spans="1:7" ht="24" customHeight="1">
      <c r="A11" s="7" t="s">
        <v>183</v>
      </c>
      <c r="B11" s="14" t="s">
        <v>184</v>
      </c>
      <c r="C11" s="11">
        <f>'1. Settings &amp; Leaders'!$B$8</f>
        <v>0</v>
      </c>
      <c r="D11" s="15" t="s">
        <v>80</v>
      </c>
      <c r="E11" s="16" t="s">
        <v>36</v>
      </c>
      <c r="F11" s="9" t="s">
        <v>144</v>
      </c>
      <c r="G11" s="7"/>
    </row>
    <row r="12" spans="1:7" ht="24" customHeight="1">
      <c r="A12" s="4" t="s">
        <v>185</v>
      </c>
      <c r="B12" s="14" t="s">
        <v>176</v>
      </c>
      <c r="C12" s="11" t="s">
        <v>177</v>
      </c>
      <c r="D12" s="12" t="s">
        <v>111</v>
      </c>
      <c r="E12" s="13" t="s">
        <v>40</v>
      </c>
      <c r="F12" s="8" t="s">
        <v>144</v>
      </c>
      <c r="G12" s="4"/>
    </row>
    <row r="13" spans="1:7" ht="24" customHeight="1">
      <c r="A13" s="7" t="s">
        <v>186</v>
      </c>
      <c r="B13" s="14" t="s">
        <v>184</v>
      </c>
      <c r="C13" s="11">
        <f>'1. Settings &amp; Leaders'!$B$8</f>
        <v>0</v>
      </c>
      <c r="D13" s="15" t="s">
        <v>96</v>
      </c>
      <c r="E13" s="16" t="s">
        <v>53</v>
      </c>
      <c r="F13" s="9" t="s">
        <v>144</v>
      </c>
      <c r="G13" s="7"/>
    </row>
    <row r="14" spans="1:7" ht="24" customHeight="1">
      <c r="A14" s="4" t="s">
        <v>187</v>
      </c>
      <c r="B14" s="14" t="s">
        <v>184</v>
      </c>
      <c r="C14" s="11">
        <f>'1. Settings &amp; Leaders'!$B$8</f>
        <v>0</v>
      </c>
      <c r="D14" s="12" t="s">
        <v>71</v>
      </c>
      <c r="E14" s="13" t="s">
        <v>40</v>
      </c>
      <c r="F14" s="8" t="s">
        <v>144</v>
      </c>
      <c r="G14" s="4"/>
    </row>
    <row r="15" spans="1:7" ht="24" customHeight="1">
      <c r="A15" s="7" t="s">
        <v>188</v>
      </c>
      <c r="B15" s="14" t="s">
        <v>176</v>
      </c>
      <c r="C15" s="11" t="s">
        <v>177</v>
      </c>
      <c r="D15" s="15" t="s">
        <v>71</v>
      </c>
      <c r="E15" s="16" t="s">
        <v>40</v>
      </c>
      <c r="F15" s="9" t="s">
        <v>144</v>
      </c>
      <c r="G15" s="7"/>
    </row>
    <row r="16" spans="1:7" ht="24" customHeight="1">
      <c r="A16" s="4" t="s">
        <v>189</v>
      </c>
      <c r="B16" s="14" t="s">
        <v>190</v>
      </c>
      <c r="C16" s="11">
        <f>CEILING('1. Settings &amp; Leaders'!$B$8/2,0.5)</f>
        <v>0</v>
      </c>
      <c r="D16" s="12" t="s">
        <v>73</v>
      </c>
      <c r="E16" s="13" t="s">
        <v>36</v>
      </c>
      <c r="F16" s="8" t="s">
        <v>144</v>
      </c>
      <c r="G16" s="4"/>
    </row>
    <row r="17" spans="1:7" ht="24" customHeight="1">
      <c r="A17" s="7" t="s">
        <v>191</v>
      </c>
      <c r="B17" s="14" t="s">
        <v>184</v>
      </c>
      <c r="C17" s="11">
        <f>'1. Settings &amp; Leaders'!$B$8</f>
        <v>0</v>
      </c>
      <c r="D17" s="15" t="s">
        <v>73</v>
      </c>
      <c r="E17" s="16" t="s">
        <v>36</v>
      </c>
      <c r="F17" s="9" t="s">
        <v>144</v>
      </c>
      <c r="G17" s="7"/>
    </row>
    <row r="18" spans="1:7" ht="24" customHeight="1">
      <c r="A18" s="4" t="s">
        <v>192</v>
      </c>
      <c r="B18" s="14" t="s">
        <v>184</v>
      </c>
      <c r="C18" s="11">
        <f>'1. Settings &amp; Leaders'!$B$8</f>
        <v>0</v>
      </c>
      <c r="D18" s="12" t="s">
        <v>73</v>
      </c>
      <c r="E18" s="13" t="s">
        <v>36</v>
      </c>
      <c r="F18" s="8" t="s">
        <v>144</v>
      </c>
      <c r="G18" s="4"/>
    </row>
    <row r="19" spans="1:7" ht="24" customHeight="1">
      <c r="A19" s="7" t="s">
        <v>193</v>
      </c>
      <c r="B19" s="14" t="s">
        <v>194</v>
      </c>
      <c r="C19" s="11">
        <f>'1. Settings &amp; Leaders'!$B$8*2</f>
        <v>0</v>
      </c>
      <c r="D19" s="15" t="s">
        <v>73</v>
      </c>
      <c r="E19" s="16" t="s">
        <v>36</v>
      </c>
      <c r="F19" s="9" t="s">
        <v>144</v>
      </c>
      <c r="G19" s="7"/>
    </row>
    <row r="20" spans="1:7" ht="24" customHeight="1">
      <c r="A20" s="4" t="s">
        <v>195</v>
      </c>
      <c r="B20" s="14" t="s">
        <v>194</v>
      </c>
      <c r="C20" s="11">
        <f>'1. Settings &amp; Leaders'!$B$8*2</f>
        <v>0</v>
      </c>
      <c r="D20" s="12" t="s">
        <v>73</v>
      </c>
      <c r="E20" s="13" t="s">
        <v>36</v>
      </c>
      <c r="F20" s="8" t="s">
        <v>144</v>
      </c>
      <c r="G20" s="4"/>
    </row>
  </sheetData>
  <mergeCells count="1">
    <mergeCell ref="A4:G4"/>
  </mergeCells>
  <dataValidations count="45">
    <dataValidation type="list" allowBlank="1" showInputMessage="1" sqref="D6">
      <formula1>'3. Detailed Timetable'!$E$8:$E$40</formula1>
    </dataValidation>
    <dataValidation type="list" allowBlank="1" showInputMessage="1" sqref="E6">
      <formula1>'2. Roster &amp; Roles'!$A$6:$A$25</formula1>
    </dataValidation>
    <dataValidation type="list" allowBlank="1" showInputMessage="1" showErrorMessage="1" sqref="F6">
      <formula1>"To Buy,Pending,Packed"</formula1>
    </dataValidation>
    <dataValidation type="list" allowBlank="1" showInputMessage="1" sqref="D7">
      <formula1>'3. Detailed Timetable'!$E$8:$E$40</formula1>
    </dataValidation>
    <dataValidation type="list" allowBlank="1" showInputMessage="1" sqref="E7">
      <formula1>'2. Roster &amp; Roles'!$A$6:$A$25</formula1>
    </dataValidation>
    <dataValidation type="list" allowBlank="1" showInputMessage="1" showErrorMessage="1" sqref="F7">
      <formula1>"To Buy,Pending,Packed"</formula1>
    </dataValidation>
    <dataValidation type="list" allowBlank="1" showInputMessage="1" sqref="D8">
      <formula1>'3. Detailed Timetable'!$E$8:$E$40</formula1>
    </dataValidation>
    <dataValidation type="list" allowBlank="1" showInputMessage="1" sqref="E8">
      <formula1>'2. Roster &amp; Roles'!$A$6:$A$25</formula1>
    </dataValidation>
    <dataValidation type="list" allowBlank="1" showInputMessage="1" showErrorMessage="1" sqref="F8">
      <formula1>"To Buy,Pending,Packed"</formula1>
    </dataValidation>
    <dataValidation type="list" allowBlank="1" showInputMessage="1" sqref="D9">
      <formula1>'3. Detailed Timetable'!$E$8:$E$40</formula1>
    </dataValidation>
    <dataValidation type="list" allowBlank="1" showInputMessage="1" sqref="E9">
      <formula1>'2. Roster &amp; Roles'!$A$6:$A$25</formula1>
    </dataValidation>
    <dataValidation type="list" allowBlank="1" showInputMessage="1" showErrorMessage="1" sqref="F9">
      <formula1>"To Buy,Pending,Packed"</formula1>
    </dataValidation>
    <dataValidation type="list" allowBlank="1" showInputMessage="1" sqref="D10">
      <formula1>'3. Detailed Timetable'!$E$8:$E$40</formula1>
    </dataValidation>
    <dataValidation type="list" allowBlank="1" showInputMessage="1" sqref="E10">
      <formula1>'2. Roster &amp; Roles'!$A$6:$A$25</formula1>
    </dataValidation>
    <dataValidation type="list" allowBlank="1" showInputMessage="1" showErrorMessage="1" sqref="F10">
      <formula1>"To Buy,Pending,Packed"</formula1>
    </dataValidation>
    <dataValidation type="list" allowBlank="1" showInputMessage="1" sqref="D11">
      <formula1>'3. Detailed Timetable'!$E$8:$E$40</formula1>
    </dataValidation>
    <dataValidation type="list" allowBlank="1" showInputMessage="1" sqref="E11">
      <formula1>'2. Roster &amp; Roles'!$A$6:$A$25</formula1>
    </dataValidation>
    <dataValidation type="list" allowBlank="1" showInputMessage="1" showErrorMessage="1" sqref="F11">
      <formula1>"To Buy,Pending,Packed"</formula1>
    </dataValidation>
    <dataValidation type="list" allowBlank="1" showInputMessage="1" sqref="D12">
      <formula1>'3. Detailed Timetable'!$E$8:$E$40</formula1>
    </dataValidation>
    <dataValidation type="list" allowBlank="1" showInputMessage="1" sqref="E12">
      <formula1>'2. Roster &amp; Roles'!$A$6:$A$25</formula1>
    </dataValidation>
    <dataValidation type="list" allowBlank="1" showInputMessage="1" showErrorMessage="1" sqref="F12">
      <formula1>"To Buy,Pending,Packed"</formula1>
    </dataValidation>
    <dataValidation type="list" allowBlank="1" showInputMessage="1" sqref="D13">
      <formula1>'3. Detailed Timetable'!$E$8:$E$40</formula1>
    </dataValidation>
    <dataValidation type="list" allowBlank="1" showInputMessage="1" sqref="E13">
      <formula1>'2. Roster &amp; Roles'!$A$6:$A$25</formula1>
    </dataValidation>
    <dataValidation type="list" allowBlank="1" showInputMessage="1" showErrorMessage="1" sqref="F13">
      <formula1>"To Buy,Pending,Packed"</formula1>
    </dataValidation>
    <dataValidation type="list" allowBlank="1" showInputMessage="1" sqref="D14">
      <formula1>'3. Detailed Timetable'!$E$8:$E$40</formula1>
    </dataValidation>
    <dataValidation type="list" allowBlank="1" showInputMessage="1" sqref="E14">
      <formula1>'2. Roster &amp; Roles'!$A$6:$A$25</formula1>
    </dataValidation>
    <dataValidation type="list" allowBlank="1" showInputMessage="1" showErrorMessage="1" sqref="F14">
      <formula1>"To Buy,Pending,Packed"</formula1>
    </dataValidation>
    <dataValidation type="list" allowBlank="1" showInputMessage="1" sqref="D15">
      <formula1>'3. Detailed Timetable'!$E$8:$E$40</formula1>
    </dataValidation>
    <dataValidation type="list" allowBlank="1" showInputMessage="1" sqref="E15">
      <formula1>'2. Roster &amp; Roles'!$A$6:$A$25</formula1>
    </dataValidation>
    <dataValidation type="list" allowBlank="1" showInputMessage="1" showErrorMessage="1" sqref="F15">
      <formula1>"To Buy,Pending,Packed"</formula1>
    </dataValidation>
    <dataValidation type="list" allowBlank="1" showInputMessage="1" sqref="D16">
      <formula1>'3. Detailed Timetable'!$E$8:$E$40</formula1>
    </dataValidation>
    <dataValidation type="list" allowBlank="1" showInputMessage="1" sqref="E16">
      <formula1>'2. Roster &amp; Roles'!$A$6:$A$25</formula1>
    </dataValidation>
    <dataValidation type="list" allowBlank="1" showInputMessage="1" showErrorMessage="1" sqref="F16">
      <formula1>"To Buy,Pending,Packed"</formula1>
    </dataValidation>
    <dataValidation type="list" allowBlank="1" showInputMessage="1" sqref="D17">
      <formula1>'3. Detailed Timetable'!$E$8:$E$40</formula1>
    </dataValidation>
    <dataValidation type="list" allowBlank="1" showInputMessage="1" sqref="E17">
      <formula1>'2. Roster &amp; Roles'!$A$6:$A$25</formula1>
    </dataValidation>
    <dataValidation type="list" allowBlank="1" showInputMessage="1" showErrorMessage="1" sqref="F17">
      <formula1>"To Buy,Pending,Packed"</formula1>
    </dataValidation>
    <dataValidation type="list" allowBlank="1" showInputMessage="1" sqref="D18">
      <formula1>'3. Detailed Timetable'!$E$8:$E$40</formula1>
    </dataValidation>
    <dataValidation type="list" allowBlank="1" showInputMessage="1" sqref="E18">
      <formula1>'2. Roster &amp; Roles'!$A$6:$A$25</formula1>
    </dataValidation>
    <dataValidation type="list" allowBlank="1" showInputMessage="1" showErrorMessage="1" sqref="F18">
      <formula1>"To Buy,Pending,Packed"</formula1>
    </dataValidation>
    <dataValidation type="list" allowBlank="1" showInputMessage="1" sqref="D19">
      <formula1>'3. Detailed Timetable'!$E$8:$E$40</formula1>
    </dataValidation>
    <dataValidation type="list" allowBlank="1" showInputMessage="1" sqref="E19">
      <formula1>'2. Roster &amp; Roles'!$A$6:$A$25</formula1>
    </dataValidation>
    <dataValidation type="list" allowBlank="1" showInputMessage="1" showErrorMessage="1" sqref="F19">
      <formula1>"To Buy,Pending,Packed"</formula1>
    </dataValidation>
    <dataValidation type="list" allowBlank="1" showInputMessage="1" sqref="D20">
      <formula1>'3. Detailed Timetable'!$E$8:$E$40</formula1>
    </dataValidation>
    <dataValidation type="list" allowBlank="1" showInputMessage="1" sqref="E20">
      <formula1>'2. Roster &amp; Roles'!$A$6:$A$25</formula1>
    </dataValidation>
    <dataValidation type="list" allowBlank="1" showInputMessage="1" showErrorMessage="1" sqref="F20">
      <formula1>"To Buy,Pending,Packed"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C0542F"/>
  </sheetPr>
  <dimension ref="A1:E23"/>
  <sheetViews>
    <sheetView showGridLines="0" workbookViewId="0"/>
  </sheetViews>
  <sheetFormatPr defaultRowHeight="15"/>
  <cols>
    <col min="1" max="1" width="30.7109375" customWidth="1"/>
    <col min="2" max="2" width="22.7109375" customWidth="1"/>
    <col min="3" max="3" width="24.7109375" customWidth="1"/>
    <col min="4" max="4" width="14.7109375" customWidth="1"/>
    <col min="5" max="5" width="35.7109375" customWidth="1"/>
  </cols>
  <sheetData>
    <row r="1" spans="1:5" ht="36" customHeight="1">
      <c r="A1" s="1" t="s">
        <v>196</v>
      </c>
    </row>
    <row r="2" spans="1:5" ht="20" customHeight="1">
      <c r="A2" s="2" t="s">
        <v>197</v>
      </c>
    </row>
    <row r="4" spans="1:5" ht="28" customHeight="1">
      <c r="A4" s="3" t="s">
        <v>198</v>
      </c>
      <c r="B4" s="3"/>
      <c r="C4" s="3"/>
      <c r="D4" s="3"/>
      <c r="E4" s="3"/>
    </row>
    <row r="5" spans="1:5" ht="26" customHeight="1">
      <c r="A5" s="6" t="s">
        <v>141</v>
      </c>
      <c r="B5" s="6" t="s">
        <v>199</v>
      </c>
      <c r="C5" s="6" t="s">
        <v>64</v>
      </c>
      <c r="D5" s="6" t="s">
        <v>124</v>
      </c>
      <c r="E5" s="6" t="s">
        <v>125</v>
      </c>
    </row>
    <row r="6" spans="1:5" ht="26" customHeight="1">
      <c r="A6" s="4" t="s">
        <v>200</v>
      </c>
      <c r="B6" s="11">
        <f>'1. Settings &amp; Leaders'!$B$8&amp;" portions"</f>
        <v>0</v>
      </c>
      <c r="C6" s="13" t="s">
        <v>42</v>
      </c>
      <c r="D6" s="8" t="s">
        <v>144</v>
      </c>
      <c r="E6" s="4"/>
    </row>
    <row r="7" spans="1:5" ht="26" customHeight="1">
      <c r="A7" s="7" t="s">
        <v>201</v>
      </c>
      <c r="B7" s="11">
        <f>ROUNDUP('1. Settings &amp; Leaders'!$B$8/20,0)&amp;" jars"</f>
        <v>0</v>
      </c>
      <c r="C7" s="16" t="s">
        <v>42</v>
      </c>
      <c r="D7" s="9" t="s">
        <v>144</v>
      </c>
      <c r="E7" s="7"/>
    </row>
    <row r="8" spans="1:5" ht="26" customHeight="1">
      <c r="A8" s="4" t="s">
        <v>202</v>
      </c>
      <c r="B8" s="11">
        <f>ROUNDUP('1. Settings &amp; Leaders'!$B$8/40,0)&amp;" Kg"</f>
        <v>0</v>
      </c>
      <c r="C8" s="13" t="s">
        <v>42</v>
      </c>
      <c r="D8" s="8" t="s">
        <v>144</v>
      </c>
      <c r="E8" s="4"/>
    </row>
    <row r="9" spans="1:5" ht="26" customHeight="1">
      <c r="A9" s="7" t="s">
        <v>203</v>
      </c>
      <c r="B9" s="11">
        <f>ROUNDUP('1. Settings &amp; Leaders'!$B$8*0.28,0)&amp;" L"</f>
        <v>0</v>
      </c>
      <c r="C9" s="16" t="s">
        <v>42</v>
      </c>
      <c r="D9" s="9" t="s">
        <v>144</v>
      </c>
      <c r="E9" s="7"/>
    </row>
    <row r="10" spans="1:5" ht="26" customHeight="1">
      <c r="A10" s="4" t="s">
        <v>204</v>
      </c>
      <c r="B10" s="8" t="s">
        <v>205</v>
      </c>
      <c r="C10" s="13" t="s">
        <v>42</v>
      </c>
      <c r="D10" s="8" t="s">
        <v>144</v>
      </c>
      <c r="E10" s="4"/>
    </row>
    <row r="11" spans="1:5" ht="26" customHeight="1">
      <c r="A11" s="7" t="s">
        <v>206</v>
      </c>
      <c r="B11" s="11">
        <f>ROUNDUP('1. Settings &amp; Leaders'!$B$8/6,0)&amp;" boxes"</f>
        <v>0</v>
      </c>
      <c r="C11" s="16" t="s">
        <v>42</v>
      </c>
      <c r="D11" s="9" t="s">
        <v>144</v>
      </c>
      <c r="E11" s="7"/>
    </row>
    <row r="12" spans="1:5" ht="26" customHeight="1">
      <c r="A12" s="4" t="s">
        <v>207</v>
      </c>
      <c r="B12" s="11">
        <f>ROUNDUP('1. Settings &amp; Leaders'!$B$8/7,0)&amp;" bags"</f>
        <v>0</v>
      </c>
      <c r="C12" s="13" t="s">
        <v>42</v>
      </c>
      <c r="D12" s="8" t="s">
        <v>144</v>
      </c>
      <c r="E12" s="4"/>
    </row>
    <row r="13" spans="1:5" ht="26" customHeight="1">
      <c r="A13" s="7" t="s">
        <v>208</v>
      </c>
      <c r="B13" s="11">
        <f>ROUNDUP('1. Settings &amp; Leaders'!$B$8/14,0)&amp;" × 300g pkts"</f>
        <v>0</v>
      </c>
      <c r="C13" s="16" t="s">
        <v>42</v>
      </c>
      <c r="D13" s="9" t="s">
        <v>144</v>
      </c>
      <c r="E13" s="7"/>
    </row>
    <row r="14" spans="1:5" ht="26" customHeight="1">
      <c r="A14" s="4" t="s">
        <v>209</v>
      </c>
      <c r="B14" s="8" t="s">
        <v>205</v>
      </c>
      <c r="C14" s="13" t="s">
        <v>42</v>
      </c>
      <c r="D14" s="8" t="s">
        <v>144</v>
      </c>
      <c r="E14" s="4"/>
    </row>
    <row r="15" spans="1:5" ht="26" customHeight="1">
      <c r="A15" s="7" t="s">
        <v>210</v>
      </c>
      <c r="B15" s="9" t="s">
        <v>211</v>
      </c>
      <c r="C15" s="16" t="s">
        <v>42</v>
      </c>
      <c r="D15" s="9" t="s">
        <v>144</v>
      </c>
      <c r="E15" s="7"/>
    </row>
    <row r="16" spans="1:5" ht="26" customHeight="1">
      <c r="A16" s="4" t="s">
        <v>212</v>
      </c>
      <c r="B16" s="8" t="s">
        <v>211</v>
      </c>
      <c r="C16" s="13" t="s">
        <v>42</v>
      </c>
      <c r="D16" s="8" t="s">
        <v>144</v>
      </c>
      <c r="E16" s="4"/>
    </row>
    <row r="17" spans="1:5" ht="26" customHeight="1">
      <c r="A17" s="7" t="s">
        <v>213</v>
      </c>
      <c r="B17" s="11">
        <f>ROUNDUP('1. Settings &amp; Leaders'!$B$8/40,0)&amp;" × 500g pkts"</f>
        <v>0</v>
      </c>
      <c r="C17" s="16" t="s">
        <v>42</v>
      </c>
      <c r="D17" s="9" t="s">
        <v>144</v>
      </c>
      <c r="E17" s="7"/>
    </row>
    <row r="18" spans="1:5" ht="26" customHeight="1">
      <c r="A18" s="4" t="s">
        <v>214</v>
      </c>
      <c r="B18" s="11">
        <f>ROUNDUP('1. Settings &amp; Leaders'!$B$8/10,0)&amp;" pkts"</f>
        <v>0</v>
      </c>
      <c r="C18" s="13" t="s">
        <v>42</v>
      </c>
      <c r="D18" s="8" t="s">
        <v>144</v>
      </c>
      <c r="E18" s="4"/>
    </row>
    <row r="19" spans="1:5" ht="26" customHeight="1">
      <c r="A19" s="7" t="s">
        <v>215</v>
      </c>
      <c r="B19" s="9" t="s">
        <v>216</v>
      </c>
      <c r="C19" s="16" t="s">
        <v>42</v>
      </c>
      <c r="D19" s="9" t="s">
        <v>144</v>
      </c>
      <c r="E19" s="7"/>
    </row>
    <row r="20" spans="1:5" ht="26" customHeight="1">
      <c r="A20" s="4" t="s">
        <v>217</v>
      </c>
      <c r="B20" s="8" t="s">
        <v>218</v>
      </c>
      <c r="C20" s="13" t="s">
        <v>42</v>
      </c>
      <c r="D20" s="8" t="s">
        <v>144</v>
      </c>
      <c r="E20" s="4"/>
    </row>
    <row r="21" spans="1:5" ht="26" customHeight="1">
      <c r="A21" s="7" t="s">
        <v>219</v>
      </c>
      <c r="B21" s="11">
        <f>ROUNDUP('1. Settings &amp; Leaders'!$B$8/20,0)&amp;" L"</f>
        <v>0</v>
      </c>
      <c r="C21" s="16" t="s">
        <v>42</v>
      </c>
      <c r="D21" s="9" t="s">
        <v>144</v>
      </c>
      <c r="E21" s="7"/>
    </row>
    <row r="22" spans="1:5" ht="26" customHeight="1">
      <c r="A22" s="4" t="s">
        <v>220</v>
      </c>
      <c r="B22" s="8" t="s">
        <v>221</v>
      </c>
      <c r="C22" s="13" t="s">
        <v>42</v>
      </c>
      <c r="D22" s="8" t="s">
        <v>144</v>
      </c>
      <c r="E22" s="4"/>
    </row>
    <row r="23" spans="1:5" ht="26" customHeight="1">
      <c r="A23" s="7" t="s">
        <v>222</v>
      </c>
      <c r="B23" s="9" t="s">
        <v>223</v>
      </c>
      <c r="C23" s="16" t="s">
        <v>53</v>
      </c>
      <c r="D23" s="9" t="s">
        <v>144</v>
      </c>
      <c r="E23" s="7"/>
    </row>
  </sheetData>
  <mergeCells count="1">
    <mergeCell ref="A4:E4"/>
  </mergeCells>
  <dataValidations count="36">
    <dataValidation type="list" allowBlank="1" showInputMessage="1" sqref="C6">
      <formula1>'2. Roster &amp; Roles'!$A$6:$A$25</formula1>
    </dataValidation>
    <dataValidation type="list" allowBlank="1" showInputMessage="1" showErrorMessage="1" sqref="D6">
      <formula1>"To Buy,Pending,Packed"</formula1>
    </dataValidation>
    <dataValidation type="list" allowBlank="1" showInputMessage="1" sqref="C7">
      <formula1>'2. Roster &amp; Roles'!$A$6:$A$25</formula1>
    </dataValidation>
    <dataValidation type="list" allowBlank="1" showInputMessage="1" showErrorMessage="1" sqref="D7">
      <formula1>"To Buy,Pending,Packed"</formula1>
    </dataValidation>
    <dataValidation type="list" allowBlank="1" showInputMessage="1" sqref="C8">
      <formula1>'2. Roster &amp; Roles'!$A$6:$A$25</formula1>
    </dataValidation>
    <dataValidation type="list" allowBlank="1" showInputMessage="1" showErrorMessage="1" sqref="D8">
      <formula1>"To Buy,Pending,Packed"</formula1>
    </dataValidation>
    <dataValidation type="list" allowBlank="1" showInputMessage="1" sqref="C9">
      <formula1>'2. Roster &amp; Roles'!$A$6:$A$25</formula1>
    </dataValidation>
    <dataValidation type="list" allowBlank="1" showInputMessage="1" showErrorMessage="1" sqref="D9">
      <formula1>"To Buy,Pending,Packed"</formula1>
    </dataValidation>
    <dataValidation type="list" allowBlank="1" showInputMessage="1" sqref="C10">
      <formula1>'2. Roster &amp; Roles'!$A$6:$A$25</formula1>
    </dataValidation>
    <dataValidation type="list" allowBlank="1" showInputMessage="1" showErrorMessage="1" sqref="D10">
      <formula1>"To Buy,Pending,Packed"</formula1>
    </dataValidation>
    <dataValidation type="list" allowBlank="1" showInputMessage="1" sqref="C11">
      <formula1>'2. Roster &amp; Roles'!$A$6:$A$25</formula1>
    </dataValidation>
    <dataValidation type="list" allowBlank="1" showInputMessage="1" showErrorMessage="1" sqref="D11">
      <formula1>"To Buy,Pending,Packed"</formula1>
    </dataValidation>
    <dataValidation type="list" allowBlank="1" showInputMessage="1" sqref="C12">
      <formula1>'2. Roster &amp; Roles'!$A$6:$A$25</formula1>
    </dataValidation>
    <dataValidation type="list" allowBlank="1" showInputMessage="1" showErrorMessage="1" sqref="D12">
      <formula1>"To Buy,Pending,Packed"</formula1>
    </dataValidation>
    <dataValidation type="list" allowBlank="1" showInputMessage="1" sqref="C13">
      <formula1>'2. Roster &amp; Roles'!$A$6:$A$25</formula1>
    </dataValidation>
    <dataValidation type="list" allowBlank="1" showInputMessage="1" showErrorMessage="1" sqref="D13">
      <formula1>"To Buy,Pending,Packed"</formula1>
    </dataValidation>
    <dataValidation type="list" allowBlank="1" showInputMessage="1" sqref="C14">
      <formula1>'2. Roster &amp; Roles'!$A$6:$A$25</formula1>
    </dataValidation>
    <dataValidation type="list" allowBlank="1" showInputMessage="1" showErrorMessage="1" sqref="D14">
      <formula1>"To Buy,Pending,Packed"</formula1>
    </dataValidation>
    <dataValidation type="list" allowBlank="1" showInputMessage="1" sqref="C15">
      <formula1>'2. Roster &amp; Roles'!$A$6:$A$25</formula1>
    </dataValidation>
    <dataValidation type="list" allowBlank="1" showInputMessage="1" showErrorMessage="1" sqref="D15">
      <formula1>"To Buy,Pending,Packed"</formula1>
    </dataValidation>
    <dataValidation type="list" allowBlank="1" showInputMessage="1" sqref="C16">
      <formula1>'2. Roster &amp; Roles'!$A$6:$A$25</formula1>
    </dataValidation>
    <dataValidation type="list" allowBlank="1" showInputMessage="1" showErrorMessage="1" sqref="D16">
      <formula1>"To Buy,Pending,Packed"</formula1>
    </dataValidation>
    <dataValidation type="list" allowBlank="1" showInputMessage="1" sqref="C17">
      <formula1>'2. Roster &amp; Roles'!$A$6:$A$25</formula1>
    </dataValidation>
    <dataValidation type="list" allowBlank="1" showInputMessage="1" showErrorMessage="1" sqref="D17">
      <formula1>"To Buy,Pending,Packed"</formula1>
    </dataValidation>
    <dataValidation type="list" allowBlank="1" showInputMessage="1" sqref="C18">
      <formula1>'2. Roster &amp; Roles'!$A$6:$A$25</formula1>
    </dataValidation>
    <dataValidation type="list" allowBlank="1" showInputMessage="1" showErrorMessage="1" sqref="D18">
      <formula1>"To Buy,Pending,Packed"</formula1>
    </dataValidation>
    <dataValidation type="list" allowBlank="1" showInputMessage="1" sqref="C19">
      <formula1>'2. Roster &amp; Roles'!$A$6:$A$25</formula1>
    </dataValidation>
    <dataValidation type="list" allowBlank="1" showInputMessage="1" showErrorMessage="1" sqref="D19">
      <formula1>"To Buy,Pending,Packed"</formula1>
    </dataValidation>
    <dataValidation type="list" allowBlank="1" showInputMessage="1" sqref="C20">
      <formula1>'2. Roster &amp; Roles'!$A$6:$A$25</formula1>
    </dataValidation>
    <dataValidation type="list" allowBlank="1" showInputMessage="1" showErrorMessage="1" sqref="D20">
      <formula1>"To Buy,Pending,Packed"</formula1>
    </dataValidation>
    <dataValidation type="list" allowBlank="1" showInputMessage="1" sqref="C21">
      <formula1>'2. Roster &amp; Roles'!$A$6:$A$25</formula1>
    </dataValidation>
    <dataValidation type="list" allowBlank="1" showInputMessage="1" showErrorMessage="1" sqref="D21">
      <formula1>"To Buy,Pending,Packed"</formula1>
    </dataValidation>
    <dataValidation type="list" allowBlank="1" showInputMessage="1" sqref="C22">
      <formula1>'2. Roster &amp; Roles'!$A$6:$A$25</formula1>
    </dataValidation>
    <dataValidation type="list" allowBlank="1" showInputMessage="1" showErrorMessage="1" sqref="D22">
      <formula1>"To Buy,Pending,Packed"</formula1>
    </dataValidation>
    <dataValidation type="list" allowBlank="1" showInputMessage="1" sqref="C23">
      <formula1>'2. Roster &amp; Roles'!$A$6:$A$25</formula1>
    </dataValidation>
    <dataValidation type="list" allowBlank="1" showInputMessage="1" showErrorMessage="1" sqref="D23">
      <formula1>"To Buy,Pending,Packed"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2E7D32"/>
  </sheetPr>
  <dimension ref="A1:C14"/>
  <sheetViews>
    <sheetView showGridLines="0" workbookViewId="0"/>
  </sheetViews>
  <sheetFormatPr defaultRowHeight="15"/>
  <cols>
    <col min="1" max="1" width="22.7109375" customWidth="1"/>
    <col min="2" max="2" width="36.7109375" customWidth="1"/>
    <col min="3" max="3" width="90.7109375" customWidth="1"/>
  </cols>
  <sheetData>
    <row r="1" spans="1:3" ht="36" customHeight="1">
      <c r="A1" s="1" t="s">
        <v>224</v>
      </c>
    </row>
    <row r="2" spans="1:3" ht="20" customHeight="1">
      <c r="A2" s="2" t="s">
        <v>225</v>
      </c>
    </row>
    <row r="4" spans="1:3" ht="28" customHeight="1">
      <c r="A4" s="3" t="s">
        <v>226</v>
      </c>
      <c r="B4" s="3"/>
      <c r="C4" s="3"/>
    </row>
    <row r="5" spans="1:3" ht="26" customHeight="1">
      <c r="A5" s="6" t="s">
        <v>62</v>
      </c>
      <c r="B5" s="6" t="s">
        <v>227</v>
      </c>
      <c r="C5" s="6" t="s">
        <v>228</v>
      </c>
    </row>
    <row r="6" spans="1:3" ht="140" customHeight="1">
      <c r="A6" s="33" t="s">
        <v>69</v>
      </c>
      <c r="B6" s="4" t="s">
        <v>229</v>
      </c>
      <c r="C6" s="4" t="s">
        <v>230</v>
      </c>
    </row>
    <row r="7" spans="1:3" ht="140" customHeight="1">
      <c r="A7" s="34" t="s">
        <v>71</v>
      </c>
      <c r="B7" s="7" t="s">
        <v>231</v>
      </c>
      <c r="C7" s="7" t="s">
        <v>232</v>
      </c>
    </row>
    <row r="8" spans="1:3" ht="140" customHeight="1">
      <c r="A8" s="33" t="s">
        <v>80</v>
      </c>
      <c r="B8" s="4" t="s">
        <v>233</v>
      </c>
      <c r="C8" s="4" t="s">
        <v>234</v>
      </c>
    </row>
    <row r="9" spans="1:3" ht="140" customHeight="1">
      <c r="A9" s="34" t="s">
        <v>83</v>
      </c>
      <c r="B9" s="7" t="s">
        <v>235</v>
      </c>
      <c r="C9" s="7" t="s">
        <v>236</v>
      </c>
    </row>
    <row r="10" spans="1:3" ht="140" customHeight="1">
      <c r="A10" s="33" t="s">
        <v>93</v>
      </c>
      <c r="B10" s="4" t="s">
        <v>237</v>
      </c>
      <c r="C10" s="4" t="s">
        <v>238</v>
      </c>
    </row>
    <row r="11" spans="1:3" ht="140" customHeight="1">
      <c r="A11" s="34" t="s">
        <v>96</v>
      </c>
      <c r="B11" s="7" t="s">
        <v>239</v>
      </c>
      <c r="C11" s="7" t="s">
        <v>240</v>
      </c>
    </row>
    <row r="12" spans="1:3" ht="140" customHeight="1">
      <c r="A12" s="33" t="s">
        <v>98</v>
      </c>
      <c r="B12" s="4" t="s">
        <v>241</v>
      </c>
      <c r="C12" s="4" t="s">
        <v>242</v>
      </c>
    </row>
    <row r="13" spans="1:3" ht="140" customHeight="1">
      <c r="A13" s="34" t="s">
        <v>103</v>
      </c>
      <c r="B13" s="7" t="s">
        <v>243</v>
      </c>
      <c r="C13" s="7" t="s">
        <v>244</v>
      </c>
    </row>
    <row r="14" spans="1:3" ht="140" customHeight="1">
      <c r="A14" s="33" t="s">
        <v>111</v>
      </c>
      <c r="B14" s="4" t="s">
        <v>245</v>
      </c>
      <c r="C14" s="4" t="s">
        <v>246</v>
      </c>
    </row>
  </sheetData>
  <mergeCells count="1">
    <mergeCell ref="A4:C4"/>
  </mergeCells>
  <dataValidations count="9">
    <dataValidation type="list" allowBlank="1" showInputMessage="1" sqref="A6">
      <formula1>'3. Detailed Timetable'!$E$8:$E$40</formula1>
    </dataValidation>
    <dataValidation type="list" allowBlank="1" showInputMessage="1" sqref="A7">
      <formula1>'3. Detailed Timetable'!$E$8:$E$40</formula1>
    </dataValidation>
    <dataValidation type="list" allowBlank="1" showInputMessage="1" sqref="A8">
      <formula1>'3. Detailed Timetable'!$E$8:$E$40</formula1>
    </dataValidation>
    <dataValidation type="list" allowBlank="1" showInputMessage="1" sqref="A9">
      <formula1>'3. Detailed Timetable'!$E$8:$E$40</formula1>
    </dataValidation>
    <dataValidation type="list" allowBlank="1" showInputMessage="1" sqref="A10">
      <formula1>'3. Detailed Timetable'!$E$8:$E$40</formula1>
    </dataValidation>
    <dataValidation type="list" allowBlank="1" showInputMessage="1" sqref="A11">
      <formula1>'3. Detailed Timetable'!$E$8:$E$40</formula1>
    </dataValidation>
    <dataValidation type="list" allowBlank="1" showInputMessage="1" sqref="A12">
      <formula1>'3. Detailed Timetable'!$E$8:$E$40</formula1>
    </dataValidation>
    <dataValidation type="list" allowBlank="1" showInputMessage="1" sqref="A13">
      <formula1>'3. Detailed Timetable'!$E$8:$E$40</formula1>
    </dataValidation>
    <dataValidation type="list" allowBlank="1" showInputMessage="1" sqref="A14">
      <formula1>'3. Detailed Timetable'!$E$8:$E$40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1. Settings &amp; Leaders</vt:lpstr>
      <vt:lpstr>2. Roster &amp; Roles</vt:lpstr>
      <vt:lpstr>3. Detailed Timetable</vt:lpstr>
      <vt:lpstr>4. Visual Schedule</vt:lpstr>
      <vt:lpstr>5. Pre-Camp Tasks</vt:lpstr>
      <vt:lpstr>6. Camp Equipment</vt:lpstr>
      <vt:lpstr>7. Activity Equipment</vt:lpstr>
      <vt:lpstr>8. Food Shopping</vt:lpstr>
      <vt:lpstr>9. Activity Playbook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2026-07-21T20:55:03Z</dcterms:created>
  <dcterms:modified xsi:type="dcterms:W3CDTF">2026-07-21T20:55:03Z</dcterms:modified>
</cp:coreProperties>
</file>
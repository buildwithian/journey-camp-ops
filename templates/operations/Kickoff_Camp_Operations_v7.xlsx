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Roster &amp; Roles" sheetId="1" r:id="rId1"/>
    <sheet name="2. Dynamic Timetable" sheetId="2" r:id="rId2"/>
    <sheet name="3. Task Checklist" sheetId="3" r:id="rId3"/>
    <sheet name="4. Camp Equipment" sheetId="4" r:id="rId4"/>
    <sheet name="5. Activity Equipment" sheetId="5" r:id="rId5"/>
    <sheet name="6. Food Shopping" sheetId="6" r:id="rId6"/>
    <sheet name="7. Activity Playbook" sheetId="7" r:id="rId7"/>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<sst xmlns="http://schemas.openxmlformats.org/spreadsheetml/2006/main" count="493" uniqueCount="234">
  <si>
    <t>Roles &amp; Volunteer Roster</t>
  </si>
  <si>
    <t>Role</t>
  </si>
  <si>
    <t>Detailed Description &amp; Default Duties</t>
  </si>
  <si>
    <t>Assigned Leader</t>
  </si>
  <si>
    <t>Contact Number</t>
  </si>
  <si>
    <t>Email</t>
  </si>
  <si>
    <t>Oversight Lead</t>
  </si>
  <si>
    <t>• Ultimate decision-making authority during the camp.
• Handles live issues (emergencies, weather changes).
• Leads high-level reflections and debriefs.</t>
  </si>
  <si>
    <t>Ian Sinclair</t>
  </si>
  <si>
    <t>+27 63 893 9452</t>
  </si>
  <si>
    <t>sinclairian2408@gmail.com</t>
  </si>
  <si>
    <t>Logistics Lead</t>
  </si>
  <si>
    <t>• Manages all physical setup and breakdown.
• Coordinates camp layout, tents/bivvies, fire preparation.</t>
  </si>
  <si>
    <t>Neil Harrower</t>
  </si>
  <si>
    <t>+27 71 950 8363</t>
  </si>
  <si>
    <t>neilharrower@gmail.com</t>
  </si>
  <si>
    <t>Session Coordinator</t>
  </si>
  <si>
    <t>• Facilitates the core structured spiritual/emotional sessions (e.g., Malachi discussion).</t>
  </si>
  <si>
    <t>Marvin Welby-Solomon</t>
  </si>
  <si>
    <t>Communion Leader</t>
  </si>
  <si>
    <t>• Specifically runs the communion session on Sunday morning.</t>
  </si>
  <si>
    <t>Richard Walker</t>
  </si>
  <si>
    <t>Administration</t>
  </si>
  <si>
    <t>• Handles all paperwork, nametags, and gate-keeping.</t>
  </si>
  <si>
    <t>Paul Barter</t>
  </si>
  <si>
    <t>Activity Facilitator</t>
  </si>
  <si>
    <t>• Brings high energy to run the games and challenges (Clay Latte, Tug of War, Name Games).</t>
  </si>
  <si>
    <t>Kingsley Williams</t>
  </si>
  <si>
    <t>+27 83 260 5311</t>
  </si>
  <si>
    <t>Catering / Food Lead</t>
  </si>
  <si>
    <t>• Owns the food schedule. Ensures meals are prepped on time.</t>
  </si>
  <si>
    <t>Kevin de Wet</t>
  </si>
  <si>
    <t>+27 82 908 2460</t>
  </si>
  <si>
    <t>General Helper 1</t>
  </si>
  <si>
    <t>Assists the Logistics and Catering leads where extra hands are needed.</t>
  </si>
  <si>
    <t>Raldo Kruger</t>
  </si>
  <si>
    <t>+27 84 511 8606</t>
  </si>
  <si>
    <t>General Helper 2</t>
  </si>
  <si>
    <t>Assists the Activity Facilitator and Session Coordinator.</t>
  </si>
  <si>
    <t>Gavin Graham</t>
  </si>
  <si>
    <t>Kickoff Camp Run Sheet</t>
  </si>
  <si>
    <t>Change the Camp Start Time below. Live tasks will calculate sequentially. Type into "Manual Start Override" to set a custom time.</t>
  </si>
  <si>
    <t>Camp Start Time:</t>
  </si>
  <si>
    <t>Day</t>
  </si>
  <si>
    <t>Manual Start Override</t>
  </si>
  <si>
    <t>Calculated Start</t>
  </si>
  <si>
    <t>Calculated End</t>
  </si>
  <si>
    <t>Duration (min)</t>
  </si>
  <si>
    <t>Activity Name</t>
  </si>
  <si>
    <t>Full Task Description</t>
  </si>
  <si>
    <t>Linked Equipment</t>
  </si>
  <si>
    <t>Default Role</t>
  </si>
  <si>
    <t>Change Ownership</t>
  </si>
  <si>
    <t>Final Leader</t>
  </si>
  <si>
    <t>Phase</t>
  </si>
  <si>
    <t>Saturday</t>
  </si>
  <si>
    <t>Arrival</t>
  </si>
  <si>
    <t>Arrive at camp, name tags, get to know contacts</t>
  </si>
  <si>
    <t>Ice Breaker</t>
  </si>
  <si>
    <t>Get to know each other (Daughters introduce Fathers, name game)</t>
  </si>
  <si>
    <t>Clay Latte</t>
  </si>
  <si>
    <t>Father and daughter activities (Clay Latte) &amp; Dam swim</t>
  </si>
  <si>
    <t>Activity</t>
  </si>
  <si>
    <t>Camp Setup</t>
  </si>
  <si>
    <t>Set-up shelters, Bivvie equipment, prepare fire</t>
  </si>
  <si>
    <t>Setup</t>
  </si>
  <si>
    <t>Dinner Prep</t>
  </si>
  <si>
    <t>Prepare and Cook Supper</t>
  </si>
  <si>
    <t>Dinner</t>
  </si>
  <si>
    <t>Dads and daughters have supper together</t>
  </si>
  <si>
    <t>Stokbrood</t>
  </si>
  <si>
    <t>Marshmallows and stokbrood at fire, chat about questions</t>
  </si>
  <si>
    <t>Evening</t>
  </si>
  <si>
    <t>Skits &amp; Debrief</t>
  </si>
  <si>
    <t>Present skits and carving, end of evening debrief</t>
  </si>
  <si>
    <t>Wind Down</t>
  </si>
  <si>
    <t>Bed Time</t>
  </si>
  <si>
    <t>Bed time</t>
  </si>
  <si>
    <t>Lights Out</t>
  </si>
  <si>
    <t>Sunday</t>
  </si>
  <si>
    <t>Wake Up</t>
  </si>
  <si>
    <t>Wake up, dam swim, boil kettles, coffee</t>
  </si>
  <si>
    <t>Morning</t>
  </si>
  <si>
    <t>Malachi</t>
  </si>
  <si>
    <t>Malachi discussion (sand demo) and communion</t>
  </si>
  <si>
    <t>Session 1</t>
  </si>
  <si>
    <t>Communion</t>
  </si>
  <si>
    <t>Administer Communion elements</t>
  </si>
  <si>
    <t>Quiet Time</t>
  </si>
  <si>
    <t>Father and Daughter Quiet time (reflect on Malachi)</t>
  </si>
  <si>
    <t>Session 2</t>
  </si>
  <si>
    <t>Breakfast</t>
  </si>
  <si>
    <t>Manhood Talk</t>
  </si>
  <si>
    <t>Dad's talk and daughters talk split</t>
  </si>
  <si>
    <t>Session 3</t>
  </si>
  <si>
    <t>Final Debrief</t>
  </si>
  <si>
    <t>Reflection on the sleepover, present carving</t>
  </si>
  <si>
    <t>Debrief</t>
  </si>
  <si>
    <t>Pack Up</t>
  </si>
  <si>
    <t>Pack up camp</t>
  </si>
  <si>
    <t>Tug of War</t>
  </si>
  <si>
    <t>Father and Daughter Activity (Tug of war, Swim)</t>
  </si>
  <si>
    <t>Departure</t>
  </si>
  <si>
    <t>Depart from camp</t>
  </si>
  <si>
    <t>Pre-Camp Task Checklist</t>
  </si>
  <si>
    <t>Action items and pre-planning organization that need to be completed before arrival.</t>
  </si>
  <si>
    <t>Category</t>
  </si>
  <si>
    <t>Task Description</t>
  </si>
  <si>
    <t>Final Assigned</t>
  </si>
  <si>
    <t>Status</t>
  </si>
  <si>
    <t>Pre-Planning</t>
  </si>
  <si>
    <t>Finalize RSVP list and dietary requirements</t>
  </si>
  <si>
    <t>Not Started</t>
  </si>
  <si>
    <t>Review medical forms</t>
  </si>
  <si>
    <t>Purchase all shopping list items (Food/Drinks)</t>
  </si>
  <si>
    <t>Print Name Tags and laminate Father/Daughter questions</t>
  </si>
  <si>
    <t>Confirm venue access codes and final layout</t>
  </si>
  <si>
    <t>Pack all camp equipment, tents, and activities gear</t>
  </si>
  <si>
    <t>Pre-pack braai brood and perishables</t>
  </si>
  <si>
    <t>Download YouTube Malachi scripture video</t>
  </si>
  <si>
    <t>General Camp Equipment List</t>
  </si>
  <si>
    <t>Items required for general camp setup. These are not tied to specific activities.</t>
  </si>
  <si>
    <t>Item</t>
  </si>
  <si>
    <t>Qty</t>
  </si>
  <si>
    <t>Washing bowl</t>
  </si>
  <si>
    <t>1</t>
  </si>
  <si>
    <t>Pending</t>
  </si>
  <si>
    <t>Dish towel</t>
  </si>
  <si>
    <t>2</t>
  </si>
  <si>
    <t>Dish cloth</t>
  </si>
  <si>
    <t>5</t>
  </si>
  <si>
    <t>Dish scourers</t>
  </si>
  <si>
    <t>Dish washing liquid</t>
  </si>
  <si>
    <t>Chopping board (wooden)</t>
  </si>
  <si>
    <t>4</t>
  </si>
  <si>
    <t>Garbage bags</t>
  </si>
  <si>
    <t>Spade</t>
  </si>
  <si>
    <t>Water Carrier</t>
  </si>
  <si>
    <t>Gas bottles</t>
  </si>
  <si>
    <t>Gas kettle (Large)</t>
  </si>
  <si>
    <t>Gas plate</t>
  </si>
  <si>
    <t>Gas kettle (small)</t>
  </si>
  <si>
    <t>Gas two plater</t>
  </si>
  <si>
    <t>Cutlery set</t>
  </si>
  <si>
    <t>Gas fire starter (rod)</t>
  </si>
  <si>
    <t>First aid</t>
  </si>
  <si>
    <t>Tongs</t>
  </si>
  <si>
    <t>Bodum</t>
  </si>
  <si>
    <t>Braai grid (large)</t>
  </si>
  <si>
    <t>Journey Banner</t>
  </si>
  <si>
    <t>Fire lighter</t>
  </si>
  <si>
    <t>Camping mats</t>
  </si>
  <si>
    <t>6</t>
  </si>
  <si>
    <t>Axe</t>
  </si>
  <si>
    <t>Mallet</t>
  </si>
  <si>
    <t>Activity Specific Equipment List</t>
  </si>
  <si>
    <t>Equipment strictly tied to specific timetable activities.</t>
  </si>
  <si>
    <t>Linked Activity</t>
  </si>
  <si>
    <t>Prop for earth shaking</t>
  </si>
  <si>
    <t>Speaker</t>
  </si>
  <si>
    <t>Projector</t>
  </si>
  <si>
    <t>Downloaded YouTube Malachi video</t>
  </si>
  <si>
    <t>Dad and daughter questions</t>
  </si>
  <si>
    <t>16</t>
  </si>
  <si>
    <t>Stokbrood Stok</t>
  </si>
  <si>
    <t>43</t>
  </si>
  <si>
    <t>Tug of war rope</t>
  </si>
  <si>
    <t>Communion cups</t>
  </si>
  <si>
    <t>50</t>
  </si>
  <si>
    <t>Claylatt</t>
  </si>
  <si>
    <t>Clay - bag</t>
  </si>
  <si>
    <t>Bivvy's (Shelter)</t>
  </si>
  <si>
    <t>21.5</t>
  </si>
  <si>
    <t>Latte short (Shelter)</t>
  </si>
  <si>
    <t>Latte long (Shelter)</t>
  </si>
  <si>
    <t>Guy ropes (Shelter)</t>
  </si>
  <si>
    <t>86</t>
  </si>
  <si>
    <t>Pegs (Shelter)</t>
  </si>
  <si>
    <t>Food &amp; Catering Shopping List</t>
  </si>
  <si>
    <t>Dough for stokbrood</t>
  </si>
  <si>
    <t>43 portions</t>
  </si>
  <si>
    <t>Coffee Instant</t>
  </si>
  <si>
    <t>2 jars</t>
  </si>
  <si>
    <t>Coffee Ground</t>
  </si>
  <si>
    <t>1 Kg</t>
  </si>
  <si>
    <t>Long life milk</t>
  </si>
  <si>
    <t>12L</t>
  </si>
  <si>
    <t>Sugar</t>
  </si>
  <si>
    <t>1kg</t>
  </si>
  <si>
    <t>Rusks</t>
  </si>
  <si>
    <t>8 boxes</t>
  </si>
  <si>
    <t>Braai Brood (stok brood)</t>
  </si>
  <si>
    <t>6 bags</t>
  </si>
  <si>
    <t>Marshmallows</t>
  </si>
  <si>
    <t>3 x 300g</t>
  </si>
  <si>
    <t>Mieliemeal</t>
  </si>
  <si>
    <t>Rooibos</t>
  </si>
  <si>
    <t>1 box</t>
  </si>
  <si>
    <t>Ceylon</t>
  </si>
  <si>
    <t>Hot chocolate</t>
  </si>
  <si>
    <t>1 x 500g</t>
  </si>
  <si>
    <t>Marie biscuits</t>
  </si>
  <si>
    <t>4 pkts</t>
  </si>
  <si>
    <t>Tomato sauce</t>
  </si>
  <si>
    <t>2 bottles</t>
  </si>
  <si>
    <t>Syrup</t>
  </si>
  <si>
    <t>Communion juice (Grape)</t>
  </si>
  <si>
    <t>2 L</t>
  </si>
  <si>
    <t>Butro Butter</t>
  </si>
  <si>
    <t>500g</t>
  </si>
  <si>
    <t>Communion loaf</t>
  </si>
  <si>
    <t>1 loaf</t>
  </si>
  <si>
    <t>Activity Playbook</t>
  </si>
  <si>
    <t>Detailed instructions and considerations for the lead running each activity.</t>
  </si>
  <si>
    <t>Goal / Objective</t>
  </si>
  <si>
    <t>Instructions &amp; Lead Considerations</t>
  </si>
  <si>
    <t>Break the initial tension and get everyone laughing and connecting.</t>
  </si>
  <si>
    <t>STEPS:
1. Have daughters introduce their fathers to the group (and vice versa).
2. Play a quick "Name Game" or "Two Truths and a Lie" (Camp Edition).
LEAD CONSIDERATION: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</si>
  <si>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</si>
  <si>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a challenge (e.g. crossing a line while carrying a cup of water, or building a clay structure).
LEAD CONSIDERATION:
• Emphasize that the goal isn't just winning, it's communicating and moving as one unit.
• If frustration builds, pause and remind them to listen to each other.</t>
  </si>
  <si>
    <t>Quality, guided conversational time in a relaxed setting.</t>
  </si>
  <si>
    <t>STEPS:
1. Layout tables, maize meal, dough, stokke (sticks), syrup, and marshmallows near the fire.
2. Ensure the printed question cards are handed out to each pair.
3. As they cook their stokbrood, fathers and daughters use the cards to spark deep conversations.
LEAD CONSIDERATION:
• Keep the fire well-stoked but safe.
• Give families enough physical space around the fire to have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</si>
  <si>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</si>
  <si>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summarizing the key takeaways from Saturday.
LEAD CONSIDERATION:
• Set a supportive, cheering tone for the skits.
• Transition smoothly from the loud fun of the skits into a calmer, more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</si>
  <si>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</si>
  <si>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or settle, and discuss how intentional action (turning towards each other) is the solution.
LEAD CONSIDERATION: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</si>
  <si>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</si>
  <si>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
• Create a quiet, reverent atmosphere. Allow ample time; do not rush this moment.
• Have soft, instrumental worship music playing in the background if possible.</t>
  </si>
  <si>
    <t>Personal reflection on the Malachi session and Communion.</t>
  </si>
  <si>
    <t>STEPS:
1. Fathers and daughters separate briefly, or sit quietly together without speaking, to reflect or journal.
LEAD CONSIDERATION: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</si>
  <si>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</si>
  <si>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LEAD CONSIDERATION: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</si>
  <si>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</si>
  <si>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and then mixed teams.
LEAD CONSIDERATION:
• Safety first—ensure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</si>
</sst>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1">
    <numFmt numFmtId="164" formatCode="hh:mm AM/PM"/>
  </numFmts>
  <fonts count="7">
    <font>
      <sz val="11"/>
      <color theme="1"/>
      <name val="Calibri"/>
      <family val="2"/>
      <scheme val="minor"/>
    </font>
    <font>
      <b/>
      <sz val="20"/>
      <color rgb="FF2C3E50"/>
      <name val="Calibri"/>
      <family val="2"/>
      <scheme val="minor"/>
    </font>
    <font>
      <b/>
      <sz val="11"/>
      <color rgb="FFFFFFFF"/>
      <name val="Calibri"/>
      <family val="2"/>
      <scheme val="minor"/>
    </font>
    <font>
      <b/>
      <sz val="14"/>
      <color rgb="FF34495E"/>
      <name val="Calibri"/>
      <family val="2"/>
      <scheme val="minor"/>
    </font>
    <font>
      <b/>
      <sz val="11"/>
      <color theme="1"/>
      <name val="Calibri"/>
      <family val="2"/>
      <scheme val="minor"/>
    </font>
    <font>
      <sz val="11"/>
      <color rgb="FF8E44AD"/>
      <name val="Calibri"/>
      <family val="2"/>
      <scheme val="minor"/>
    </font>
    <font>
      <sz val="11"/>
      <color rgb="FF5D6D7E"/>
      <name val="Calibri"/>
      <family val="2"/>
      <scheme val="minor"/>
    </font>
  </fonts>
  <fills count="7">
    <fill>
      <patternFill patternType="none"/>
    </fill>
    <fill>
      <patternFill patternType="gray125"/>
    </fill>
    <fill>
      <patternFill patternType="solid">
        <fgColor rgb="FF2980B9"/>
        <bgColor indexed="64"/>
      </patternFill>
    </fill>
    <fill>
      <patternFill patternType="solid">
        <fgColor rgb="FFECF0F1"/>
        <bgColor indexed="64"/>
      </patternFill>
    </fill>
    <fill>
      <patternFill patternType="solid">
        <fgColor rgb="FFFDEBD0"/>
        <bgColor indexed="64"/>
      </patternFill>
    </fill>
    <fill>
      <patternFill patternType="solid">
        <fgColor rgb="FFE8DAEF"/>
        <bgColor indexed="64"/>
      </patternFill>
    </fill>
    <fill>
      <patternFill patternType="solid">
        <fgColor rgb="FFD5D8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3" fillId="0" borderId="0" xfId="0" applyFont="1" applyAlignment="1">
      <alignment vertical="center"/>
    </xf>
    <xf numFmtId="0" fontId="4" fillId="0" borderId="0" xfId="0" applyFont="1" applyAlignment="1">
      <alignment horizontal="right" vertical="center"/>
    </xf>
    <xf numFmtId="164" fontId="4" fillId="4"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6" fillId="6" borderId="1" xfId="0" applyFont="1" applyFill="1" applyBorder="1" applyAlignment="1">
      <alignment vertical="center" wrapText="1"/>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showGridLines="0" tabSelected="1" workbookViewId="0"/>
  </sheetViews>
  <sheetFormatPr defaultRowHeight="15"/>
  <cols>
    <col min="1" max="1" width="22.7109375" customWidth="1"/>
    <col min="2" max="2" width="70.7109375" customWidth="1"/>
    <col min="3" max="3" width="20.7109375" customWidth="1"/>
    <col min="4" max="4" width="18.7109375" customWidth="1"/>
    <col min="5" max="5" width="25.7109375" customWidth="1"/>
  </cols>
  <sheetData>
    <row r="1" spans="1:5">
      <c r="A1" s="1" t="s">
        <v>0</v>
      </c>
    </row>
    <row r="4" spans="1:5">
      <c r="A4" s="2" t="s">
        <v>1</v>
      </c>
      <c r="B4" s="2" t="s">
        <v>2</v>
      </c>
      <c r="C4" s="2" t="s">
        <v>3</v>
      </c>
      <c r="D4" s="2" t="s">
        <v>4</v>
      </c>
      <c r="E4" s="2" t="s">
        <v>5</v>
      </c>
    </row>
    <row r="5" spans="1:5" ht="60" customHeight="1">
      <c r="A5" s="3" t="s">
        <v>6</v>
      </c>
      <c r="B5" s="3" t="s">
        <v>7</v>
      </c>
      <c r="C5" s="3" t="s">
        <v>8</v>
      </c>
      <c r="D5" s="3" t="s">
        <v>9</v>
      </c>
      <c r="E5" s="3" t="s">
        <v>10</v>
      </c>
    </row>
    <row r="6" spans="1:5" ht="60" customHeight="1">
      <c r="A6" s="4" t="s">
        <v>11</v>
      </c>
      <c r="B6" s="4" t="s">
        <v>12</v>
      </c>
      <c r="C6" s="4" t="s">
        <v>13</v>
      </c>
      <c r="D6" s="4" t="s">
        <v>14</v>
      </c>
      <c r="E6" s="4" t="s">
        <v>15</v>
      </c>
    </row>
    <row r="7" spans="1:5" ht="60" customHeight="1">
      <c r="A7" s="3" t="s">
        <v>16</v>
      </c>
      <c r="B7" s="3" t="s">
        <v>17</v>
      </c>
      <c r="C7" s="3" t="s">
        <v>18</v>
      </c>
      <c r="D7" s="3"/>
      <c r="E7" s="3"/>
    </row>
    <row r="8" spans="1:5" ht="60" customHeight="1">
      <c r="A8" s="4" t="s">
        <v>19</v>
      </c>
      <c r="B8" s="4" t="s">
        <v>20</v>
      </c>
      <c r="C8" s="4" t="s">
        <v>21</v>
      </c>
      <c r="D8" s="4"/>
      <c r="E8" s="4"/>
    </row>
    <row r="9" spans="1:5" ht="60" customHeight="1">
      <c r="A9" s="3" t="s">
        <v>22</v>
      </c>
      <c r="B9" s="3" t="s">
        <v>23</v>
      </c>
      <c r="C9" s="3" t="s">
        <v>24</v>
      </c>
      <c r="D9" s="3"/>
      <c r="E9" s="3"/>
    </row>
    <row r="10" spans="1:5" ht="60" customHeight="1">
      <c r="A10" s="4" t="s">
        <v>25</v>
      </c>
      <c r="B10" s="4" t="s">
        <v>26</v>
      </c>
      <c r="C10" s="4" t="s">
        <v>27</v>
      </c>
      <c r="D10" s="4" t="s">
        <v>28</v>
      </c>
      <c r="E10" s="4"/>
    </row>
    <row r="11" spans="1:5" ht="60" customHeight="1">
      <c r="A11" s="3" t="s">
        <v>29</v>
      </c>
      <c r="B11" s="3" t="s">
        <v>30</v>
      </c>
      <c r="C11" s="3" t="s">
        <v>31</v>
      </c>
      <c r="D11" s="3" t="s">
        <v>32</v>
      </c>
      <c r="E11" s="3"/>
    </row>
    <row r="12" spans="1:5" ht="60" customHeight="1">
      <c r="A12" s="4" t="s">
        <v>33</v>
      </c>
      <c r="B12" s="4" t="s">
        <v>34</v>
      </c>
      <c r="C12" s="4" t="s">
        <v>35</v>
      </c>
      <c r="D12" s="4" t="s">
        <v>36</v>
      </c>
      <c r="E12" s="4"/>
    </row>
    <row r="13" spans="1:5" ht="60" customHeight="1">
      <c r="A13" s="3" t="s">
        <v>37</v>
      </c>
      <c r="B13" s="3" t="s">
        <v>38</v>
      </c>
      <c r="C13" s="3" t="s">
        <v>39</v>
      </c>
      <c r="D13" s="3"/>
      <c r="E1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6"/>
  <sheetViews>
    <sheetView showGridLines="0" workbookViewId="0"/>
  </sheetViews>
  <sheetFormatPr defaultRowHeight="15"/>
  <cols>
    <col min="1" max="1" width="12.7109375" customWidth="1"/>
    <col min="2" max="2" width="18.7109375" customWidth="1"/>
    <col min="3" max="5" width="15.7109375" customWidth="1"/>
    <col min="6" max="6" width="20.7109375" customWidth="1"/>
    <col min="7" max="7" width="45.7109375" customWidth="1"/>
    <col min="8" max="8" width="35.7109375" customWidth="1"/>
    <col min="9" max="11" width="20.7109375" customWidth="1"/>
    <col min="12" max="12" width="15.7109375" customWidth="1"/>
  </cols>
  <sheetData>
    <row r="1" spans="1:12">
      <c r="A1" s="1" t="s">
        <v>40</v>
      </c>
    </row>
    <row r="2" spans="1:12">
      <c r="A2" s="5" t="s">
        <v>41</v>
      </c>
    </row>
    <row r="4" spans="1:12">
      <c r="B4" s="6" t="s">
        <v>42</v>
      </c>
      <c r="C4" s="7">
        <v>0.625</v>
      </c>
    </row>
    <row r="7" spans="1:12">
      <c r="A7" s="2" t="s">
        <v>43</v>
      </c>
      <c r="B7" s="2" t="s">
        <v>44</v>
      </c>
      <c r="C7" s="2" t="s">
        <v>45</v>
      </c>
      <c r="D7" s="2" t="s">
        <v>46</v>
      </c>
      <c r="E7" s="2" t="s">
        <v>47</v>
      </c>
      <c r="F7" s="2" t="s">
        <v>48</v>
      </c>
      <c r="G7" s="2" t="s">
        <v>49</v>
      </c>
      <c r="H7" s="2" t="s">
        <v>50</v>
      </c>
      <c r="I7" s="2" t="s">
        <v>51</v>
      </c>
      <c r="J7" s="2" t="s">
        <v>52</v>
      </c>
      <c r="K7" s="2" t="s">
        <v>53</v>
      </c>
      <c r="L7" s="2" t="s">
        <v>54</v>
      </c>
    </row>
    <row r="8" spans="1:12" ht="30" customHeight="1">
      <c r="A8" s="3" t="s">
        <v>55</v>
      </c>
      <c r="B8" s="8"/>
      <c r="C8" s="9">
        <f>IF(B8&lt;&gt;"", B8, $C$4)</f>
        <v>0</v>
      </c>
      <c r="D8" s="9">
        <f>C8 + (E8/1440)</f>
        <v>0</v>
      </c>
      <c r="E8" s="3">
        <v>30</v>
      </c>
      <c r="F8" s="3" t="s">
        <v>56</v>
      </c>
      <c r="G8" s="3" t="s">
        <v>57</v>
      </c>
      <c r="H8" s="10" cm="1">
        <f t="array" ref="H8">IFERROR(JOIN(", ", _xlfn._xlws.FILTER('5. Activity Equipment'!A:A, '5. Activity Equipment'!C:C=F8)), "None")</f>
        <v>0</v>
      </c>
      <c r="I8" s="10" t="s">
        <v>22</v>
      </c>
      <c r="J8" s="3"/>
      <c r="K8" s="3">
        <f>IF(J8="", IFERROR(VLOOKUP(I8, '1. Roster &amp; Roles'!A:C, 3, FALSE), "Unassigned"), J8)</f>
        <v>0</v>
      </c>
      <c r="L8" s="10" t="s">
        <v>56</v>
      </c>
    </row>
    <row r="9" spans="1:12" ht="30" customHeight="1">
      <c r="A9" s="4" t="s">
        <v>55</v>
      </c>
      <c r="B9" s="8"/>
      <c r="C9" s="11">
        <f>IF(B9&lt;&gt;"", B9, D8)</f>
        <v>0</v>
      </c>
      <c r="D9" s="11">
        <f>C9 + (E9/1440)</f>
        <v>0</v>
      </c>
      <c r="E9" s="4">
        <v>30</v>
      </c>
      <c r="F9" s="4" t="s">
        <v>58</v>
      </c>
      <c r="G9" s="4" t="s">
        <v>59</v>
      </c>
      <c r="H9" s="10" cm="1">
        <f t="array" ref="H9">IFERROR(JOIN(", ", _xlfn._xlws.FILTER('5. Activity Equipment'!A:A, '5. Activity Equipment'!C:C=F9)), "None")</f>
        <v>0</v>
      </c>
      <c r="I9" s="10" t="s">
        <v>25</v>
      </c>
      <c r="J9" s="4"/>
      <c r="K9" s="4">
        <f>IF(J9="", IFERROR(VLOOKUP(I9, '1. Roster &amp; Roles'!A:C, 3, FALSE), "Unassigned"), J9)</f>
        <v>0</v>
      </c>
      <c r="L9" s="10" t="s">
        <v>58</v>
      </c>
    </row>
    <row r="10" spans="1:12" ht="30" customHeight="1">
      <c r="A10" s="3" t="s">
        <v>55</v>
      </c>
      <c r="B10" s="8"/>
      <c r="C10" s="9">
        <f>IF(B10&lt;&gt;"", B10, D9)</f>
        <v>0</v>
      </c>
      <c r="D10" s="9">
        <f>C10 + (E10/1440)</f>
        <v>0</v>
      </c>
      <c r="E10" s="3">
        <v>90</v>
      </c>
      <c r="F10" s="3" t="s">
        <v>60</v>
      </c>
      <c r="G10" s="3" t="s">
        <v>61</v>
      </c>
      <c r="H10" s="10" cm="1">
        <f t="array" ref="H10">IFERROR(JOIN(", ", _xlfn._xlws.FILTER('5. Activity Equipment'!A:A, '5. Activity Equipment'!C:C=F10)), "None")</f>
        <v>0</v>
      </c>
      <c r="I10" s="10" t="s">
        <v>25</v>
      </c>
      <c r="J10" s="3"/>
      <c r="K10" s="3">
        <f>IF(J10="", IFERROR(VLOOKUP(I10, '1. Roster &amp; Roles'!A:C, 3, FALSE), "Unassigned"), J10)</f>
        <v>0</v>
      </c>
      <c r="L10" s="10" t="s">
        <v>62</v>
      </c>
    </row>
    <row r="11" spans="1:12" ht="30" customHeight="1">
      <c r="A11" s="4" t="s">
        <v>55</v>
      </c>
      <c r="B11" s="8"/>
      <c r="C11" s="11">
        <f>IF(B11&lt;&gt;"", B11, D10)</f>
        <v>0</v>
      </c>
      <c r="D11" s="11">
        <f>C11 + (E11/1440)</f>
        <v>0</v>
      </c>
      <c r="E11" s="4">
        <v>90</v>
      </c>
      <c r="F11" s="4" t="s">
        <v>63</v>
      </c>
      <c r="G11" s="4" t="s">
        <v>64</v>
      </c>
      <c r="H11" s="10" cm="1">
        <f t="array" ref="H11">IFERROR(JOIN(", ", _xlfn._xlws.FILTER('5. Activity Equipment'!A:A, '5. Activity Equipment'!C:C=F11)), "None")</f>
        <v>0</v>
      </c>
      <c r="I11" s="10" t="s">
        <v>11</v>
      </c>
      <c r="J11" s="4"/>
      <c r="K11" s="4">
        <f>IF(J11="", IFERROR(VLOOKUP(I11, '1. Roster &amp; Roles'!A:C, 3, FALSE), "Unassigned"), J11)</f>
        <v>0</v>
      </c>
      <c r="L11" s="10" t="s">
        <v>65</v>
      </c>
    </row>
    <row r="12" spans="1:12" ht="30" customHeight="1">
      <c r="A12" s="3" t="s">
        <v>55</v>
      </c>
      <c r="B12" s="8"/>
      <c r="C12" s="9">
        <f>IF(B12&lt;&gt;"", B12, D11)</f>
        <v>0</v>
      </c>
      <c r="D12" s="9">
        <f>C12 + (E12/1440)</f>
        <v>0</v>
      </c>
      <c r="E12" s="3">
        <v>60</v>
      </c>
      <c r="F12" s="3" t="s">
        <v>66</v>
      </c>
      <c r="G12" s="3" t="s">
        <v>67</v>
      </c>
      <c r="H12" s="10" cm="1">
        <f t="array" ref="H12">IFERROR(JOIN(", ", _xlfn._xlws.FILTER('5. Activity Equipment'!A:A, '5. Activity Equipment'!C:C=F12)), "None")</f>
        <v>0</v>
      </c>
      <c r="I12" s="10" t="s">
        <v>29</v>
      </c>
      <c r="J12" s="3"/>
      <c r="K12" s="3">
        <f>IF(J12="", IFERROR(VLOOKUP(I12, '1. Roster &amp; Roles'!A:C, 3, FALSE), "Unassigned"), J12)</f>
        <v>0</v>
      </c>
      <c r="L12" s="10" t="s">
        <v>66</v>
      </c>
    </row>
    <row r="13" spans="1:12" ht="30" customHeight="1">
      <c r="A13" s="4" t="s">
        <v>55</v>
      </c>
      <c r="B13" s="8"/>
      <c r="C13" s="11">
        <f>IF(B13&lt;&gt;"", B13, D12)</f>
        <v>0</v>
      </c>
      <c r="D13" s="11">
        <f>C13 + (E13/1440)</f>
        <v>0</v>
      </c>
      <c r="E13" s="4">
        <v>30</v>
      </c>
      <c r="F13" s="4" t="s">
        <v>68</v>
      </c>
      <c r="G13" s="4" t="s">
        <v>69</v>
      </c>
      <c r="H13" s="10" cm="1">
        <f t="array" ref="H13">IFERROR(JOIN(", ", _xlfn._xlws.FILTER('5. Activity Equipment'!A:A, '5. Activity Equipment'!C:C=F13)), "None")</f>
        <v>0</v>
      </c>
      <c r="I13" s="10" t="s">
        <v>6</v>
      </c>
      <c r="J13" s="4"/>
      <c r="K13" s="4">
        <f>IF(J13="", IFERROR(VLOOKUP(I13, '1. Roster &amp; Roles'!A:C, 3, FALSE), "Unassigned"), J13)</f>
        <v>0</v>
      </c>
      <c r="L13" s="10" t="s">
        <v>68</v>
      </c>
    </row>
    <row r="14" spans="1:12" ht="30" customHeight="1">
      <c r="A14" s="3" t="s">
        <v>55</v>
      </c>
      <c r="B14" s="8"/>
      <c r="C14" s="9">
        <f>IF(B14&lt;&gt;"", B14, D13)</f>
        <v>0</v>
      </c>
      <c r="D14" s="9">
        <f>C14 + (E14/1440)</f>
        <v>0</v>
      </c>
      <c r="E14" s="3">
        <v>60</v>
      </c>
      <c r="F14" s="3" t="s">
        <v>70</v>
      </c>
      <c r="G14" s="3" t="s">
        <v>71</v>
      </c>
      <c r="H14" s="10" cm="1">
        <f t="array" ref="H14">IFERROR(JOIN(", ", _xlfn._xlws.FILTER('5. Activity Equipment'!A:A, '5. Activity Equipment'!C:C=F14)), "None")</f>
        <v>0</v>
      </c>
      <c r="I14" s="10" t="s">
        <v>16</v>
      </c>
      <c r="J14" s="3"/>
      <c r="K14" s="3">
        <f>IF(J14="", IFERROR(VLOOKUP(I14, '1. Roster &amp; Roles'!A:C, 3, FALSE), "Unassigned"), J14)</f>
        <v>0</v>
      </c>
      <c r="L14" s="10" t="s">
        <v>72</v>
      </c>
    </row>
    <row r="15" spans="1:12" ht="30" customHeight="1">
      <c r="A15" s="4" t="s">
        <v>55</v>
      </c>
      <c r="B15" s="8"/>
      <c r="C15" s="11">
        <f>IF(B15&lt;&gt;"", B15, D14)</f>
        <v>0</v>
      </c>
      <c r="D15" s="11">
        <f>C15 + (E15/1440)</f>
        <v>0</v>
      </c>
      <c r="E15" s="4">
        <v>60</v>
      </c>
      <c r="F15" s="4" t="s">
        <v>73</v>
      </c>
      <c r="G15" s="4" t="s">
        <v>74</v>
      </c>
      <c r="H15" s="10" cm="1">
        <f t="array" ref="H15">IFERROR(JOIN(", ", _xlfn._xlws.FILTER('5. Activity Equipment'!A:A, '5. Activity Equipment'!C:C=F15)), "None")</f>
        <v>0</v>
      </c>
      <c r="I15" s="10" t="s">
        <v>6</v>
      </c>
      <c r="J15" s="4"/>
      <c r="K15" s="4">
        <f>IF(J15="", IFERROR(VLOOKUP(I15, '1. Roster &amp; Roles'!A:C, 3, FALSE), "Unassigned"), J15)</f>
        <v>0</v>
      </c>
      <c r="L15" s="10" t="s">
        <v>75</v>
      </c>
    </row>
    <row r="16" spans="1:12" ht="30" customHeight="1">
      <c r="A16" s="3" t="s">
        <v>55</v>
      </c>
      <c r="B16" s="8"/>
      <c r="C16" s="9">
        <f>IF(B16&lt;&gt;"", B16, D15)</f>
        <v>0</v>
      </c>
      <c r="D16" s="9">
        <f>C16 + (E16/1440)</f>
        <v>0</v>
      </c>
      <c r="E16" s="3">
        <v>0</v>
      </c>
      <c r="F16" s="3" t="s">
        <v>76</v>
      </c>
      <c r="G16" s="3" t="s">
        <v>77</v>
      </c>
      <c r="H16" s="10" cm="1">
        <f t="array" ref="H16">IFERROR(JOIN(", ", _xlfn._xlws.FILTER('5. Activity Equipment'!A:A, '5. Activity Equipment'!C:C=F16)), "None")</f>
        <v>0</v>
      </c>
      <c r="I16" s="10" t="s">
        <v>6</v>
      </c>
      <c r="J16" s="3"/>
      <c r="K16" s="3">
        <f>IF(J16="", IFERROR(VLOOKUP(I16, '1. Roster &amp; Roles'!A:C, 3, FALSE), "Unassigned"), J16)</f>
        <v>0</v>
      </c>
      <c r="L16" s="10" t="s">
        <v>78</v>
      </c>
    </row>
    <row r="17" spans="1:12" ht="30" customHeight="1">
      <c r="A17" s="4" t="s">
        <v>79</v>
      </c>
      <c r="B17" s="8"/>
      <c r="C17" s="11">
        <f>IF(B17&lt;&gt;"", B17, D16)</f>
        <v>0</v>
      </c>
      <c r="D17" s="11">
        <f>C17 + (E17/1440)</f>
        <v>0</v>
      </c>
      <c r="E17" s="4">
        <v>45</v>
      </c>
      <c r="F17" s="4" t="s">
        <v>80</v>
      </c>
      <c r="G17" s="4" t="s">
        <v>81</v>
      </c>
      <c r="H17" s="10" cm="1">
        <f t="array" ref="H17">IFERROR(JOIN(", ", _xlfn._xlws.FILTER('5. Activity Equipment'!A:A, '5. Activity Equipment'!C:C=F17)), "None")</f>
        <v>0</v>
      </c>
      <c r="I17" s="10" t="s">
        <v>11</v>
      </c>
      <c r="J17" s="4"/>
      <c r="K17" s="4">
        <f>IF(J17="", IFERROR(VLOOKUP(I17, '1. Roster &amp; Roles'!A:C, 3, FALSE), "Unassigned"), J17)</f>
        <v>0</v>
      </c>
      <c r="L17" s="10" t="s">
        <v>82</v>
      </c>
    </row>
    <row r="18" spans="1:12" ht="30" customHeight="1">
      <c r="A18" s="3" t="s">
        <v>79</v>
      </c>
      <c r="B18" s="8"/>
      <c r="C18" s="9">
        <f>IF(B18&lt;&gt;"", B18, D17)</f>
        <v>0</v>
      </c>
      <c r="D18" s="9">
        <f>C18 + (E18/1440)</f>
        <v>0</v>
      </c>
      <c r="E18" s="3">
        <v>90</v>
      </c>
      <c r="F18" s="3" t="s">
        <v>83</v>
      </c>
      <c r="G18" s="3" t="s">
        <v>84</v>
      </c>
      <c r="H18" s="10" cm="1">
        <f t="array" ref="H18">IFERROR(JOIN(", ", _xlfn._xlws.FILTER('5. Activity Equipment'!A:A, '5. Activity Equipment'!C:C=F18)), "None")</f>
        <v>0</v>
      </c>
      <c r="I18" s="10" t="s">
        <v>16</v>
      </c>
      <c r="J18" s="3"/>
      <c r="K18" s="3">
        <f>IF(J18="", IFERROR(VLOOKUP(I18, '1. Roster &amp; Roles'!A:C, 3, FALSE), "Unassigned"), J18)</f>
        <v>0</v>
      </c>
      <c r="L18" s="10" t="s">
        <v>85</v>
      </c>
    </row>
    <row r="19" spans="1:12" ht="30" customHeight="1">
      <c r="A19" s="4" t="s">
        <v>79</v>
      </c>
      <c r="B19" s="8"/>
      <c r="C19" s="11">
        <f>IF(B19&lt;&gt;"", B19, D18)</f>
        <v>0</v>
      </c>
      <c r="D19" s="11">
        <f>C19 + (E19/1440)</f>
        <v>0</v>
      </c>
      <c r="E19" s="4">
        <v>30</v>
      </c>
      <c r="F19" s="4" t="s">
        <v>86</v>
      </c>
      <c r="G19" s="4" t="s">
        <v>87</v>
      </c>
      <c r="H19" s="10" cm="1">
        <f t="array" ref="H19">IFERROR(JOIN(", ", _xlfn._xlws.FILTER('5. Activity Equipment'!A:A, '5. Activity Equipment'!C:C=F19)), "None")</f>
        <v>0</v>
      </c>
      <c r="I19" s="10" t="s">
        <v>19</v>
      </c>
      <c r="J19" s="4"/>
      <c r="K19" s="4">
        <f>IF(J19="", IFERROR(VLOOKUP(I19, '1. Roster &amp; Roles'!A:C, 3, FALSE), "Unassigned"), J19)</f>
        <v>0</v>
      </c>
      <c r="L19" s="10" t="s">
        <v>86</v>
      </c>
    </row>
    <row r="20" spans="1:12" ht="30" customHeight="1">
      <c r="A20" s="3" t="s">
        <v>79</v>
      </c>
      <c r="B20" s="8"/>
      <c r="C20" s="9">
        <f>IF(B20&lt;&gt;"", B20, D19)</f>
        <v>0</v>
      </c>
      <c r="D20" s="9">
        <f>C20 + (E20/1440)</f>
        <v>0</v>
      </c>
      <c r="E20" s="3">
        <v>15</v>
      </c>
      <c r="F20" s="3" t="s">
        <v>88</v>
      </c>
      <c r="G20" s="3" t="s">
        <v>89</v>
      </c>
      <c r="H20" s="10" cm="1">
        <f t="array" ref="H20">IFERROR(JOIN(", ", _xlfn._xlws.FILTER('5. Activity Equipment'!A:A, '5. Activity Equipment'!C:C=F20)), "None")</f>
        <v>0</v>
      </c>
      <c r="I20" s="10" t="s">
        <v>6</v>
      </c>
      <c r="J20" s="3"/>
      <c r="K20" s="3">
        <f>IF(J20="", IFERROR(VLOOKUP(I20, '1. Roster &amp; Roles'!A:C, 3, FALSE), "Unassigned"), J20)</f>
        <v>0</v>
      </c>
      <c r="L20" s="10" t="s">
        <v>90</v>
      </c>
    </row>
    <row r="21" spans="1:12" ht="30" customHeight="1">
      <c r="A21" s="4" t="s">
        <v>79</v>
      </c>
      <c r="B21" s="8"/>
      <c r="C21" s="11">
        <f>IF(B21&lt;&gt;"", B21, D20)</f>
        <v>0</v>
      </c>
      <c r="D21" s="11">
        <f>C21 + (E21/1440)</f>
        <v>0</v>
      </c>
      <c r="E21" s="4">
        <v>60</v>
      </c>
      <c r="F21" s="4" t="s">
        <v>91</v>
      </c>
      <c r="G21" s="4" t="s">
        <v>91</v>
      </c>
      <c r="H21" s="10" cm="1">
        <f t="array" ref="H21">IFERROR(JOIN(", ", _xlfn._xlws.FILTER('5. Activity Equipment'!A:A, '5. Activity Equipment'!C:C=F21)), "None")</f>
        <v>0</v>
      </c>
      <c r="I21" s="10" t="s">
        <v>29</v>
      </c>
      <c r="J21" s="4"/>
      <c r="K21" s="4">
        <f>IF(J21="", IFERROR(VLOOKUP(I21, '1. Roster &amp; Roles'!A:C, 3, FALSE), "Unassigned"), J21)</f>
        <v>0</v>
      </c>
      <c r="L21" s="10" t="s">
        <v>91</v>
      </c>
    </row>
    <row r="22" spans="1:12" ht="30" customHeight="1">
      <c r="A22" s="3" t="s">
        <v>79</v>
      </c>
      <c r="B22" s="8"/>
      <c r="C22" s="9">
        <f>IF(B22&lt;&gt;"", B22, D21)</f>
        <v>0</v>
      </c>
      <c r="D22" s="9">
        <f>C22 + (E22/1440)</f>
        <v>0</v>
      </c>
      <c r="E22" s="3">
        <v>60</v>
      </c>
      <c r="F22" s="3" t="s">
        <v>92</v>
      </c>
      <c r="G22" s="3" t="s">
        <v>93</v>
      </c>
      <c r="H22" s="10" cm="1">
        <f t="array" ref="H22">IFERROR(JOIN(", ", _xlfn._xlws.FILTER('5. Activity Equipment'!A:A, '5. Activity Equipment'!C:C=F22)), "None")</f>
        <v>0</v>
      </c>
      <c r="I22" s="10" t="s">
        <v>16</v>
      </c>
      <c r="J22" s="3"/>
      <c r="K22" s="3">
        <f>IF(J22="", IFERROR(VLOOKUP(I22, '1. Roster &amp; Roles'!A:C, 3, FALSE), "Unassigned"), J22)</f>
        <v>0</v>
      </c>
      <c r="L22" s="10" t="s">
        <v>94</v>
      </c>
    </row>
    <row r="23" spans="1:12" ht="30" customHeight="1">
      <c r="A23" s="4" t="s">
        <v>79</v>
      </c>
      <c r="B23" s="8"/>
      <c r="C23" s="11">
        <f>IF(B23&lt;&gt;"", B23, D22)</f>
        <v>0</v>
      </c>
      <c r="D23" s="11">
        <f>C23 + (E23/1440)</f>
        <v>0</v>
      </c>
      <c r="E23" s="4">
        <v>15</v>
      </c>
      <c r="F23" s="4" t="s">
        <v>95</v>
      </c>
      <c r="G23" s="4" t="s">
        <v>96</v>
      </c>
      <c r="H23" s="10" cm="1">
        <f t="array" ref="H23">IFERROR(JOIN(", ", _xlfn._xlws.FILTER('5. Activity Equipment'!A:A, '5. Activity Equipment'!C:C=F23)), "None")</f>
        <v>0</v>
      </c>
      <c r="I23" s="10" t="s">
        <v>6</v>
      </c>
      <c r="J23" s="4"/>
      <c r="K23" s="4">
        <f>IF(J23="", IFERROR(VLOOKUP(I23, '1. Roster &amp; Roles'!A:C, 3, FALSE), "Unassigned"), J23)</f>
        <v>0</v>
      </c>
      <c r="L23" s="10" t="s">
        <v>97</v>
      </c>
    </row>
    <row r="24" spans="1:12" ht="30" customHeight="1">
      <c r="A24" s="3" t="s">
        <v>79</v>
      </c>
      <c r="B24" s="8"/>
      <c r="C24" s="9">
        <f>IF(B24&lt;&gt;"", B24, D23)</f>
        <v>0</v>
      </c>
      <c r="D24" s="9">
        <f>C24 + (E24/1440)</f>
        <v>0</v>
      </c>
      <c r="E24" s="3">
        <v>60</v>
      </c>
      <c r="F24" s="3" t="s">
        <v>98</v>
      </c>
      <c r="G24" s="3" t="s">
        <v>99</v>
      </c>
      <c r="H24" s="10" cm="1">
        <f t="array" ref="H24">IFERROR(JOIN(", ", _xlfn._xlws.FILTER('5. Activity Equipment'!A:A, '5. Activity Equipment'!C:C=F24)), "None")</f>
        <v>0</v>
      </c>
      <c r="I24" s="10" t="s">
        <v>11</v>
      </c>
      <c r="J24" s="3"/>
      <c r="K24" s="3">
        <f>IF(J24="", IFERROR(VLOOKUP(I24, '1. Roster &amp; Roles'!A:C, 3, FALSE), "Unassigned"), J24)</f>
        <v>0</v>
      </c>
      <c r="L24" s="10" t="s">
        <v>98</v>
      </c>
    </row>
    <row r="25" spans="1:12" ht="30" customHeight="1">
      <c r="A25" s="4" t="s">
        <v>79</v>
      </c>
      <c r="B25" s="8"/>
      <c r="C25" s="11">
        <f>IF(B25&lt;&gt;"", B25, D24)</f>
        <v>0</v>
      </c>
      <c r="D25" s="11">
        <f>C25 + (E25/1440)</f>
        <v>0</v>
      </c>
      <c r="E25" s="4">
        <v>45</v>
      </c>
      <c r="F25" s="4" t="s">
        <v>100</v>
      </c>
      <c r="G25" s="4" t="s">
        <v>101</v>
      </c>
      <c r="H25" s="10" cm="1">
        <f t="array" ref="H25">IFERROR(JOIN(", ", _xlfn._xlws.FILTER('5. Activity Equipment'!A:A, '5. Activity Equipment'!C:C=F25)), "None")</f>
        <v>0</v>
      </c>
      <c r="I25" s="10" t="s">
        <v>25</v>
      </c>
      <c r="J25" s="4"/>
      <c r="K25" s="4">
        <f>IF(J25="", IFERROR(VLOOKUP(I25, '1. Roster &amp; Roles'!A:C, 3, FALSE), "Unassigned"), J25)</f>
        <v>0</v>
      </c>
      <c r="L25" s="10" t="s">
        <v>62</v>
      </c>
    </row>
    <row r="26" spans="1:12" ht="30" customHeight="1">
      <c r="A26" s="3" t="s">
        <v>79</v>
      </c>
      <c r="B26" s="8"/>
      <c r="C26" s="9">
        <f>IF(B26&lt;&gt;"", B26, D25)</f>
        <v>0</v>
      </c>
      <c r="D26" s="9">
        <f>C26 + (E26/1440)</f>
        <v>0</v>
      </c>
      <c r="E26" s="3">
        <v>0</v>
      </c>
      <c r="F26" s="3" t="s">
        <v>102</v>
      </c>
      <c r="G26" s="3" t="s">
        <v>103</v>
      </c>
      <c r="H26" s="10" cm="1">
        <f t="array" ref="H26">IFERROR(JOIN(", ", _xlfn._xlws.FILTER('5. Activity Equipment'!A:A, '5. Activity Equipment'!C:C=F26)), "None")</f>
        <v>0</v>
      </c>
      <c r="I26" s="10" t="s">
        <v>22</v>
      </c>
      <c r="J26" s="3"/>
      <c r="K26" s="3">
        <f>IF(J26="", IFERROR(VLOOKUP(I26, '1. Roster &amp; Roles'!A:C, 3, FALSE), "Unassigned"), J26)</f>
        <v>0</v>
      </c>
      <c r="L26" s="10" t="s">
        <v>102</v>
      </c>
    </row>
  </sheetData>
  <dataValidations count="19">
    <dataValidation type="list" allowBlank="1" showInputMessage="1" sqref="J8">
      <formula1>'1. Roster &amp; Roles'!$C$5:$C$20</formula1>
    </dataValidation>
    <dataValidation type="list" allowBlank="1" showInputMessage="1" sqref="J9">
      <formula1>'1. Roster &amp; Roles'!$C$5:$C$20</formula1>
    </dataValidation>
    <dataValidation type="list" allowBlank="1" showInputMessage="1" sqref="J10">
      <formula1>'1. Roster &amp; Roles'!$C$5:$C$20</formula1>
    </dataValidation>
    <dataValidation type="list" allowBlank="1" showInputMessage="1" sqref="J11">
      <formula1>'1. Roster &amp; Roles'!$C$5:$C$20</formula1>
    </dataValidation>
    <dataValidation type="list" allowBlank="1" showInputMessage="1" sqref="J12">
      <formula1>'1. Roster &amp; Roles'!$C$5:$C$20</formula1>
    </dataValidation>
    <dataValidation type="list" allowBlank="1" showInputMessage="1" sqref="J13">
      <formula1>'1. Roster &amp; Roles'!$C$5:$C$20</formula1>
    </dataValidation>
    <dataValidation type="list" allowBlank="1" showInputMessage="1" sqref="J14">
      <formula1>'1. Roster &amp; Roles'!$C$5:$C$20</formula1>
    </dataValidation>
    <dataValidation type="list" allowBlank="1" showInputMessage="1" sqref="J15">
      <formula1>'1. Roster &amp; Roles'!$C$5:$C$20</formula1>
    </dataValidation>
    <dataValidation type="list" allowBlank="1" showInputMessage="1" sqref="J16">
      <formula1>'1. Roster &amp; Roles'!$C$5:$C$20</formula1>
    </dataValidation>
    <dataValidation type="list" allowBlank="1" showInputMessage="1" sqref="J17">
      <formula1>'1. Roster &amp; Roles'!$C$5:$C$20</formula1>
    </dataValidation>
    <dataValidation type="list" allowBlank="1" showInputMessage="1" sqref="J18">
      <formula1>'1. Roster &amp; Roles'!$C$5:$C$20</formula1>
    </dataValidation>
    <dataValidation type="list" allowBlank="1" showInputMessage="1" sqref="J19">
      <formula1>'1. Roster &amp; Roles'!$C$5:$C$20</formula1>
    </dataValidation>
    <dataValidation type="list" allowBlank="1" showInputMessage="1" sqref="J20">
      <formula1>'1. Roster &amp; Roles'!$C$5:$C$20</formula1>
    </dataValidation>
    <dataValidation type="list" allowBlank="1" showInputMessage="1" sqref="J21">
      <formula1>'1. Roster &amp; Roles'!$C$5:$C$20</formula1>
    </dataValidation>
    <dataValidation type="list" allowBlank="1" showInputMessage="1" sqref="J22">
      <formula1>'1. Roster &amp; Roles'!$C$5:$C$20</formula1>
    </dataValidation>
    <dataValidation type="list" allowBlank="1" showInputMessage="1" sqref="J23">
      <formula1>'1. Roster &amp; Roles'!$C$5:$C$20</formula1>
    </dataValidation>
    <dataValidation type="list" allowBlank="1" showInputMessage="1" sqref="J24">
      <formula1>'1. Roster &amp; Roles'!$C$5:$C$20</formula1>
    </dataValidation>
    <dataValidation type="list" allowBlank="1" showInputMessage="1" sqref="J25">
      <formula1>'1. Roster &amp; Roles'!$C$5:$C$20</formula1>
    </dataValidation>
    <dataValidation type="list" allowBlank="1" showInputMessage="1" sqref="J26">
      <formula1>'1. Roster &amp; Roles'!$C$5:$C$20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showGridLines="0" workbookViewId="0"/>
  </sheetViews>
  <sheetFormatPr defaultRowHeight="15"/>
  <cols>
    <col min="1" max="1" width="25.7109375" customWidth="1"/>
    <col min="2" max="2" width="50.7109375" customWidth="1"/>
    <col min="3" max="5" width="20.7109375" customWidth="1"/>
    <col min="6" max="6" width="15.7109375" customWidth="1"/>
  </cols>
  <sheetData>
    <row r="1" spans="1:6">
      <c r="A1" s="1" t="s">
        <v>104</v>
      </c>
    </row>
    <row r="2" spans="1:6">
      <c r="A2" s="5" t="s">
        <v>105</v>
      </c>
    </row>
    <row r="5" spans="1:6">
      <c r="A5" s="2" t="s">
        <v>106</v>
      </c>
      <c r="B5" s="2" t="s">
        <v>107</v>
      </c>
      <c r="C5" s="2" t="s">
        <v>51</v>
      </c>
      <c r="D5" s="2" t="s">
        <v>52</v>
      </c>
      <c r="E5" s="2" t="s">
        <v>108</v>
      </c>
      <c r="F5" s="2" t="s">
        <v>109</v>
      </c>
    </row>
    <row r="6" spans="1:6" ht="25" customHeight="1">
      <c r="A6" s="3" t="s">
        <v>110</v>
      </c>
      <c r="B6" s="3" t="s">
        <v>111</v>
      </c>
      <c r="C6" s="10" t="s">
        <v>22</v>
      </c>
      <c r="D6" s="3"/>
      <c r="E6" s="3">
        <f>IF(D6="", IFERROR(VLOOKUP(C6, '1. Roster &amp; Roles'!A:C, 3, FALSE), "Unassigned"), D6)</f>
        <v>0</v>
      </c>
      <c r="F6" s="3" t="s">
        <v>112</v>
      </c>
    </row>
    <row r="7" spans="1:6" ht="25" customHeight="1">
      <c r="A7" s="4" t="s">
        <v>110</v>
      </c>
      <c r="B7" s="4" t="s">
        <v>113</v>
      </c>
      <c r="C7" s="10" t="s">
        <v>6</v>
      </c>
      <c r="D7" s="4"/>
      <c r="E7" s="4">
        <f>IF(D7="", IFERROR(VLOOKUP(C7, '1. Roster &amp; Roles'!A:C, 3, FALSE), "Unassigned"), D7)</f>
        <v>0</v>
      </c>
      <c r="F7" s="4" t="s">
        <v>112</v>
      </c>
    </row>
    <row r="8" spans="1:6" ht="25" customHeight="1">
      <c r="A8" s="3" t="s">
        <v>110</v>
      </c>
      <c r="B8" s="3" t="s">
        <v>114</v>
      </c>
      <c r="C8" s="10" t="s">
        <v>29</v>
      </c>
      <c r="D8" s="3"/>
      <c r="E8" s="3">
        <f>IF(D8="", IFERROR(VLOOKUP(C8, '1. Roster &amp; Roles'!A:C, 3, FALSE), "Unassigned"), D8)</f>
        <v>0</v>
      </c>
      <c r="F8" s="3" t="s">
        <v>112</v>
      </c>
    </row>
    <row r="9" spans="1:6" ht="25" customHeight="1">
      <c r="A9" s="4" t="s">
        <v>110</v>
      </c>
      <c r="B9" s="4" t="s">
        <v>115</v>
      </c>
      <c r="C9" s="10" t="s">
        <v>22</v>
      </c>
      <c r="D9" s="4"/>
      <c r="E9" s="4">
        <f>IF(D9="", IFERROR(VLOOKUP(C9, '1. Roster &amp; Roles'!A:C, 3, FALSE), "Unassigned"), D9)</f>
        <v>0</v>
      </c>
      <c r="F9" s="4" t="s">
        <v>112</v>
      </c>
    </row>
    <row r="10" spans="1:6" ht="25" customHeight="1">
      <c r="A10" s="3" t="s">
        <v>110</v>
      </c>
      <c r="B10" s="3" t="s">
        <v>116</v>
      </c>
      <c r="C10" s="10" t="s">
        <v>11</v>
      </c>
      <c r="D10" s="3"/>
      <c r="E10" s="3">
        <f>IF(D10="", IFERROR(VLOOKUP(C10, '1. Roster &amp; Roles'!A:C, 3, FALSE), "Unassigned"), D10)</f>
        <v>0</v>
      </c>
      <c r="F10" s="3" t="s">
        <v>112</v>
      </c>
    </row>
    <row r="11" spans="1:6" ht="25" customHeight="1">
      <c r="A11" s="4" t="s">
        <v>110</v>
      </c>
      <c r="B11" s="4" t="s">
        <v>117</v>
      </c>
      <c r="C11" s="10" t="s">
        <v>11</v>
      </c>
      <c r="D11" s="4"/>
      <c r="E11" s="4">
        <f>IF(D11="", IFERROR(VLOOKUP(C11, '1. Roster &amp; Roles'!A:C, 3, FALSE), "Unassigned"), D11)</f>
        <v>0</v>
      </c>
      <c r="F11" s="4" t="s">
        <v>112</v>
      </c>
    </row>
    <row r="12" spans="1:6" ht="25" customHeight="1">
      <c r="A12" s="3" t="s">
        <v>110</v>
      </c>
      <c r="B12" s="3" t="s">
        <v>118</v>
      </c>
      <c r="C12" s="10" t="s">
        <v>29</v>
      </c>
      <c r="D12" s="3"/>
      <c r="E12" s="3">
        <f>IF(D12="", IFERROR(VLOOKUP(C12, '1. Roster &amp; Roles'!A:C, 3, FALSE), "Unassigned"), D12)</f>
        <v>0</v>
      </c>
      <c r="F12" s="3" t="s">
        <v>112</v>
      </c>
    </row>
    <row r="13" spans="1:6" ht="25" customHeight="1">
      <c r="A13" s="4" t="s">
        <v>110</v>
      </c>
      <c r="B13" s="4" t="s">
        <v>119</v>
      </c>
      <c r="C13" s="10" t="s">
        <v>16</v>
      </c>
      <c r="D13" s="4"/>
      <c r="E13" s="4">
        <f>IF(D13="", IFERROR(VLOOKUP(C13, '1. Roster &amp; Roles'!A:C, 3, FALSE), "Unassigned"), D13)</f>
        <v>0</v>
      </c>
      <c r="F13" s="4" t="s">
        <v>112</v>
      </c>
    </row>
  </sheetData>
  <dataValidations count="16">
    <dataValidation type="list" allowBlank="1" showInputMessage="1" sqref="D6">
      <formula1>'1. Roster &amp; Roles'!$C$5:$C$20</formula1>
    </dataValidation>
    <dataValidation type="list" allowBlank="1" showInputMessage="1" showErrorMessage="1" sqref="F6">
      <formula1>"Not Started,In Progress,Done"</formula1>
    </dataValidation>
    <dataValidation type="list" allowBlank="1" showInputMessage="1" sqref="D7">
      <formula1>'1. Roster &amp; Roles'!$C$5:$C$20</formula1>
    </dataValidation>
    <dataValidation type="list" allowBlank="1" showInputMessage="1" showErrorMessage="1" sqref="F7">
      <formula1>"Not Started,In Progress,Done"</formula1>
    </dataValidation>
    <dataValidation type="list" allowBlank="1" showInputMessage="1" sqref="D8">
      <formula1>'1. Roster &amp; Roles'!$C$5:$C$20</formula1>
    </dataValidation>
    <dataValidation type="list" allowBlank="1" showInputMessage="1" showErrorMessage="1" sqref="F8">
      <formula1>"Not Started,In Progress,Done"</formula1>
    </dataValidation>
    <dataValidation type="list" allowBlank="1" showInputMessage="1" sqref="D9">
      <formula1>'1. Roster &amp; Roles'!$C$5:$C$20</formula1>
    </dataValidation>
    <dataValidation type="list" allowBlank="1" showInputMessage="1" showErrorMessage="1" sqref="F9">
      <formula1>"Not Started,In Progress,Done"</formula1>
    </dataValidation>
    <dataValidation type="list" allowBlank="1" showInputMessage="1" sqref="D10">
      <formula1>'1. Roster &amp; Roles'!$C$5:$C$20</formula1>
    </dataValidation>
    <dataValidation type="list" allowBlank="1" showInputMessage="1" showErrorMessage="1" sqref="F10">
      <formula1>"Not Started,In Progress,Done"</formula1>
    </dataValidation>
    <dataValidation type="list" allowBlank="1" showInputMessage="1" sqref="D11">
      <formula1>'1. Roster &amp; Roles'!$C$5:$C$20</formula1>
    </dataValidation>
    <dataValidation type="list" allowBlank="1" showInputMessage="1" showErrorMessage="1" sqref="F11">
      <formula1>"Not Started,In Progress,Done"</formula1>
    </dataValidation>
    <dataValidation type="list" allowBlank="1" showInputMessage="1" sqref="D12">
      <formula1>'1. Roster &amp; Roles'!$C$5:$C$20</formula1>
    </dataValidation>
    <dataValidation type="list" allowBlank="1" showInputMessage="1" showErrorMessage="1" sqref="F12">
      <formula1>"Not Started,In Progress,Done"</formula1>
    </dataValidation>
    <dataValidation type="list" allowBlank="1" showInputMessage="1" sqref="D13">
      <formula1>'1. Roster &amp; Roles'!$C$5:$C$20</formula1>
    </dataValidation>
    <dataValidation type="list" allowBlank="1" showInputMessage="1" showErrorMessage="1" sqref="F13">
      <formula1>"Not Started,In Progress,Done"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0"/>
  <sheetViews>
    <sheetView showGridLines="0" workbookViewId="0"/>
  </sheetViews>
  <sheetFormatPr defaultRowHeight="15"/>
  <cols>
    <col min="1" max="2" width="30.7109375" customWidth="1"/>
    <col min="3" max="5" width="20.7109375" customWidth="1"/>
    <col min="6" max="6" width="15.7109375" customWidth="1"/>
  </cols>
  <sheetData>
    <row r="1" spans="1:6">
      <c r="A1" s="1" t="s">
        <v>120</v>
      </c>
    </row>
    <row r="2" spans="1:6">
      <c r="A2" s="5" t="s">
        <v>121</v>
      </c>
    </row>
    <row r="5" spans="1:6">
      <c r="A5" s="2" t="s">
        <v>122</v>
      </c>
      <c r="B5" s="2" t="s">
        <v>123</v>
      </c>
      <c r="C5" s="2" t="s">
        <v>51</v>
      </c>
      <c r="D5" s="2" t="s">
        <v>52</v>
      </c>
      <c r="E5" s="2" t="s">
        <v>108</v>
      </c>
      <c r="F5" s="2" t="s">
        <v>109</v>
      </c>
    </row>
    <row r="6" spans="1:6" ht="22" customHeight="1">
      <c r="A6" s="3" t="s">
        <v>124</v>
      </c>
      <c r="B6" s="3" t="s">
        <v>125</v>
      </c>
      <c r="C6" s="10" t="s">
        <v>11</v>
      </c>
      <c r="D6" s="3"/>
      <c r="E6" s="3">
        <f>IF(D6="", IFERROR(VLOOKUP(C6, '1. Roster &amp; Roles'!A:C, 3, FALSE), "Unassigned"), D6)</f>
        <v>0</v>
      </c>
      <c r="F6" s="3" t="s">
        <v>126</v>
      </c>
    </row>
    <row r="7" spans="1:6" ht="22" customHeight="1">
      <c r="A7" s="4" t="s">
        <v>127</v>
      </c>
      <c r="B7" s="4" t="s">
        <v>128</v>
      </c>
      <c r="C7" s="10" t="s">
        <v>11</v>
      </c>
      <c r="D7" s="4"/>
      <c r="E7" s="4">
        <f>IF(D7="", IFERROR(VLOOKUP(C7, '1. Roster &amp; Roles'!A:C, 3, FALSE), "Unassigned"), D7)</f>
        <v>0</v>
      </c>
      <c r="F7" s="4" t="s">
        <v>126</v>
      </c>
    </row>
    <row r="8" spans="1:6" ht="22" customHeight="1">
      <c r="A8" s="3" t="s">
        <v>129</v>
      </c>
      <c r="B8" s="3" t="s">
        <v>130</v>
      </c>
      <c r="C8" s="10" t="s">
        <v>11</v>
      </c>
      <c r="D8" s="3"/>
      <c r="E8" s="3">
        <f>IF(D8="", IFERROR(VLOOKUP(C8, '1. Roster &amp; Roles'!A:C, 3, FALSE), "Unassigned"), D8)</f>
        <v>0</v>
      </c>
      <c r="F8" s="3" t="s">
        <v>126</v>
      </c>
    </row>
    <row r="9" spans="1:6" ht="22" customHeight="1">
      <c r="A9" s="4" t="s">
        <v>131</v>
      </c>
      <c r="B9" s="4" t="s">
        <v>130</v>
      </c>
      <c r="C9" s="10" t="s">
        <v>11</v>
      </c>
      <c r="D9" s="4"/>
      <c r="E9" s="4">
        <f>IF(D9="", IFERROR(VLOOKUP(C9, '1. Roster &amp; Roles'!A:C, 3, FALSE), "Unassigned"), D9)</f>
        <v>0</v>
      </c>
      <c r="F9" s="4" t="s">
        <v>126</v>
      </c>
    </row>
    <row r="10" spans="1:6" ht="22" customHeight="1">
      <c r="A10" s="3" t="s">
        <v>132</v>
      </c>
      <c r="B10" s="3" t="s">
        <v>125</v>
      </c>
      <c r="C10" s="10" t="s">
        <v>11</v>
      </c>
      <c r="D10" s="3"/>
      <c r="E10" s="3">
        <f>IF(D10="", IFERROR(VLOOKUP(C10, '1. Roster &amp; Roles'!A:C, 3, FALSE), "Unassigned"), D10)</f>
        <v>0</v>
      </c>
      <c r="F10" s="3" t="s">
        <v>126</v>
      </c>
    </row>
    <row r="11" spans="1:6" ht="22" customHeight="1">
      <c r="A11" s="4" t="s">
        <v>133</v>
      </c>
      <c r="B11" s="4" t="s">
        <v>134</v>
      </c>
      <c r="C11" s="10" t="s">
        <v>29</v>
      </c>
      <c r="D11" s="4"/>
      <c r="E11" s="4">
        <f>IF(D11="", IFERROR(VLOOKUP(C11, '1. Roster &amp; Roles'!A:C, 3, FALSE), "Unassigned"), D11)</f>
        <v>0</v>
      </c>
      <c r="F11" s="4" t="s">
        <v>126</v>
      </c>
    </row>
    <row r="12" spans="1:6" ht="22" customHeight="1">
      <c r="A12" s="3" t="s">
        <v>135</v>
      </c>
      <c r="B12" s="3" t="s">
        <v>130</v>
      </c>
      <c r="C12" s="10" t="s">
        <v>11</v>
      </c>
      <c r="D12" s="3"/>
      <c r="E12" s="3">
        <f>IF(D12="", IFERROR(VLOOKUP(C12, '1. Roster &amp; Roles'!A:C, 3, FALSE), "Unassigned"), D12)</f>
        <v>0</v>
      </c>
      <c r="F12" s="3" t="s">
        <v>126</v>
      </c>
    </row>
    <row r="13" spans="1:6" ht="22" customHeight="1">
      <c r="A13" s="4" t="s">
        <v>136</v>
      </c>
      <c r="B13" s="4" t="s">
        <v>125</v>
      </c>
      <c r="C13" s="10" t="s">
        <v>11</v>
      </c>
      <c r="D13" s="4"/>
      <c r="E13" s="4">
        <f>IF(D13="", IFERROR(VLOOKUP(C13, '1. Roster &amp; Roles'!A:C, 3, FALSE), "Unassigned"), D13)</f>
        <v>0</v>
      </c>
      <c r="F13" s="4" t="s">
        <v>126</v>
      </c>
    </row>
    <row r="14" spans="1:6" ht="22" customHeight="1">
      <c r="A14" s="3" t="s">
        <v>137</v>
      </c>
      <c r="B14" s="3" t="s">
        <v>125</v>
      </c>
      <c r="C14" s="10" t="s">
        <v>11</v>
      </c>
      <c r="D14" s="3"/>
      <c r="E14" s="3">
        <f>IF(D14="", IFERROR(VLOOKUP(C14, '1. Roster &amp; Roles'!A:C, 3, FALSE), "Unassigned"), D14)</f>
        <v>0</v>
      </c>
      <c r="F14" s="3" t="s">
        <v>126</v>
      </c>
    </row>
    <row r="15" spans="1:6" ht="22" customHeight="1">
      <c r="A15" s="4" t="s">
        <v>138</v>
      </c>
      <c r="B15" s="4" t="s">
        <v>128</v>
      </c>
      <c r="C15" s="10" t="s">
        <v>11</v>
      </c>
      <c r="D15" s="4"/>
      <c r="E15" s="4">
        <f>IF(D15="", IFERROR(VLOOKUP(C15, '1. Roster &amp; Roles'!A:C, 3, FALSE), "Unassigned"), D15)</f>
        <v>0</v>
      </c>
      <c r="F15" s="4" t="s">
        <v>126</v>
      </c>
    </row>
    <row r="16" spans="1:6" ht="22" customHeight="1">
      <c r="A16" s="3" t="s">
        <v>139</v>
      </c>
      <c r="B16" s="3" t="s">
        <v>125</v>
      </c>
      <c r="C16" s="10" t="s">
        <v>11</v>
      </c>
      <c r="D16" s="3"/>
      <c r="E16" s="3">
        <f>IF(D16="", IFERROR(VLOOKUP(C16, '1. Roster &amp; Roles'!A:C, 3, FALSE), "Unassigned"), D16)</f>
        <v>0</v>
      </c>
      <c r="F16" s="3" t="s">
        <v>126</v>
      </c>
    </row>
    <row r="17" spans="1:6" ht="22" customHeight="1">
      <c r="A17" s="4" t="s">
        <v>140</v>
      </c>
      <c r="B17" s="4" t="s">
        <v>128</v>
      </c>
      <c r="C17" s="10" t="s">
        <v>11</v>
      </c>
      <c r="D17" s="4"/>
      <c r="E17" s="4">
        <f>IF(D17="", IFERROR(VLOOKUP(C17, '1. Roster &amp; Roles'!A:C, 3, FALSE), "Unassigned"), D17)</f>
        <v>0</v>
      </c>
      <c r="F17" s="4" t="s">
        <v>126</v>
      </c>
    </row>
    <row r="18" spans="1:6" ht="22" customHeight="1">
      <c r="A18" s="3" t="s">
        <v>141</v>
      </c>
      <c r="B18" s="3" t="s">
        <v>125</v>
      </c>
      <c r="C18" s="10" t="s">
        <v>11</v>
      </c>
      <c r="D18" s="3"/>
      <c r="E18" s="3">
        <f>IF(D18="", IFERROR(VLOOKUP(C18, '1. Roster &amp; Roles'!A:C, 3, FALSE), "Unassigned"), D18)</f>
        <v>0</v>
      </c>
      <c r="F18" s="3" t="s">
        <v>126</v>
      </c>
    </row>
    <row r="19" spans="1:6" ht="22" customHeight="1">
      <c r="A19" s="4" t="s">
        <v>142</v>
      </c>
      <c r="B19" s="4" t="s">
        <v>125</v>
      </c>
      <c r="C19" s="10" t="s">
        <v>11</v>
      </c>
      <c r="D19" s="4"/>
      <c r="E19" s="4">
        <f>IF(D19="", IFERROR(VLOOKUP(C19, '1. Roster &amp; Roles'!A:C, 3, FALSE), "Unassigned"), D19)</f>
        <v>0</v>
      </c>
      <c r="F19" s="4" t="s">
        <v>126</v>
      </c>
    </row>
    <row r="20" spans="1:6" ht="22" customHeight="1">
      <c r="A20" s="3" t="s">
        <v>143</v>
      </c>
      <c r="B20" s="3" t="s">
        <v>125</v>
      </c>
      <c r="C20" s="10" t="s">
        <v>29</v>
      </c>
      <c r="D20" s="3"/>
      <c r="E20" s="3">
        <f>IF(D20="", IFERROR(VLOOKUP(C20, '1. Roster &amp; Roles'!A:C, 3, FALSE), "Unassigned"), D20)</f>
        <v>0</v>
      </c>
      <c r="F20" s="3" t="s">
        <v>126</v>
      </c>
    </row>
    <row r="21" spans="1:6" ht="22" customHeight="1">
      <c r="A21" s="4" t="s">
        <v>144</v>
      </c>
      <c r="B21" s="4" t="s">
        <v>125</v>
      </c>
      <c r="C21" s="10" t="s">
        <v>11</v>
      </c>
      <c r="D21" s="4"/>
      <c r="E21" s="4">
        <f>IF(D21="", IFERROR(VLOOKUP(C21, '1. Roster &amp; Roles'!A:C, 3, FALSE), "Unassigned"), D21)</f>
        <v>0</v>
      </c>
      <c r="F21" s="4" t="s">
        <v>126</v>
      </c>
    </row>
    <row r="22" spans="1:6" ht="22" customHeight="1">
      <c r="A22" s="3" t="s">
        <v>145</v>
      </c>
      <c r="B22" s="3" t="s">
        <v>125</v>
      </c>
      <c r="C22" s="10" t="s">
        <v>6</v>
      </c>
      <c r="D22" s="3"/>
      <c r="E22" s="3">
        <f>IF(D22="", IFERROR(VLOOKUP(C22, '1. Roster &amp; Roles'!A:C, 3, FALSE), "Unassigned"), D22)</f>
        <v>0</v>
      </c>
      <c r="F22" s="3" t="s">
        <v>126</v>
      </c>
    </row>
    <row r="23" spans="1:6" ht="22" customHeight="1">
      <c r="A23" s="4" t="s">
        <v>146</v>
      </c>
      <c r="B23" s="4" t="s">
        <v>134</v>
      </c>
      <c r="C23" s="10" t="s">
        <v>29</v>
      </c>
      <c r="D23" s="4"/>
      <c r="E23" s="4">
        <f>IF(D23="", IFERROR(VLOOKUP(C23, '1. Roster &amp; Roles'!A:C, 3, FALSE), "Unassigned"), D23)</f>
        <v>0</v>
      </c>
      <c r="F23" s="4" t="s">
        <v>126</v>
      </c>
    </row>
    <row r="24" spans="1:6" ht="22" customHeight="1">
      <c r="A24" s="3" t="s">
        <v>147</v>
      </c>
      <c r="B24" s="3" t="s">
        <v>125</v>
      </c>
      <c r="C24" s="10" t="s">
        <v>29</v>
      </c>
      <c r="D24" s="3"/>
      <c r="E24" s="3">
        <f>IF(D24="", IFERROR(VLOOKUP(C24, '1. Roster &amp; Roles'!A:C, 3, FALSE), "Unassigned"), D24)</f>
        <v>0</v>
      </c>
      <c r="F24" s="3" t="s">
        <v>126</v>
      </c>
    </row>
    <row r="25" spans="1:6" ht="22" customHeight="1">
      <c r="A25" s="4" t="s">
        <v>148</v>
      </c>
      <c r="B25" s="4" t="s">
        <v>125</v>
      </c>
      <c r="C25" s="10" t="s">
        <v>11</v>
      </c>
      <c r="D25" s="4"/>
      <c r="E25" s="4">
        <f>IF(D25="", IFERROR(VLOOKUP(C25, '1. Roster &amp; Roles'!A:C, 3, FALSE), "Unassigned"), D25)</f>
        <v>0</v>
      </c>
      <c r="F25" s="4" t="s">
        <v>126</v>
      </c>
    </row>
    <row r="26" spans="1:6" ht="22" customHeight="1">
      <c r="A26" s="3" t="s">
        <v>149</v>
      </c>
      <c r="B26" s="3" t="s">
        <v>125</v>
      </c>
      <c r="C26" s="10" t="s">
        <v>11</v>
      </c>
      <c r="D26" s="3"/>
      <c r="E26" s="3">
        <f>IF(D26="", IFERROR(VLOOKUP(C26, '1. Roster &amp; Roles'!A:C, 3, FALSE), "Unassigned"), D26)</f>
        <v>0</v>
      </c>
      <c r="F26" s="3" t="s">
        <v>126</v>
      </c>
    </row>
    <row r="27" spans="1:6" ht="22" customHeight="1">
      <c r="A27" s="4" t="s">
        <v>150</v>
      </c>
      <c r="B27" s="4" t="s">
        <v>125</v>
      </c>
      <c r="C27" s="10" t="s">
        <v>11</v>
      </c>
      <c r="D27" s="4"/>
      <c r="E27" s="4">
        <f>IF(D27="", IFERROR(VLOOKUP(C27, '1. Roster &amp; Roles'!A:C, 3, FALSE), "Unassigned"), D27)</f>
        <v>0</v>
      </c>
      <c r="F27" s="4" t="s">
        <v>126</v>
      </c>
    </row>
    <row r="28" spans="1:6" ht="22" customHeight="1">
      <c r="A28" s="3" t="s">
        <v>151</v>
      </c>
      <c r="B28" s="3" t="s">
        <v>152</v>
      </c>
      <c r="C28" s="10" t="s">
        <v>11</v>
      </c>
      <c r="D28" s="3"/>
      <c r="E28" s="3">
        <f>IF(D28="", IFERROR(VLOOKUP(C28, '1. Roster &amp; Roles'!A:C, 3, FALSE), "Unassigned"), D28)</f>
        <v>0</v>
      </c>
      <c r="F28" s="3" t="s">
        <v>126</v>
      </c>
    </row>
    <row r="29" spans="1:6" ht="22" customHeight="1">
      <c r="A29" s="4" t="s">
        <v>153</v>
      </c>
      <c r="B29" s="4" t="s">
        <v>125</v>
      </c>
      <c r="C29" s="10" t="s">
        <v>11</v>
      </c>
      <c r="D29" s="4"/>
      <c r="E29" s="4">
        <f>IF(D29="", IFERROR(VLOOKUP(C29, '1. Roster &amp; Roles'!A:C, 3, FALSE), "Unassigned"), D29)</f>
        <v>0</v>
      </c>
      <c r="F29" s="4" t="s">
        <v>126</v>
      </c>
    </row>
    <row r="30" spans="1:6" ht="22" customHeight="1">
      <c r="A30" s="3" t="s">
        <v>154</v>
      </c>
      <c r="B30" s="3" t="s">
        <v>125</v>
      </c>
      <c r="C30" s="10" t="s">
        <v>11</v>
      </c>
      <c r="D30" s="3"/>
      <c r="E30" s="3">
        <f>IF(D30="", IFERROR(VLOOKUP(C30, '1. Roster &amp; Roles'!A:C, 3, FALSE), "Unassigned"), D30)</f>
        <v>0</v>
      </c>
      <c r="F30" s="3" t="s">
        <v>126</v>
      </c>
    </row>
  </sheetData>
  <dataValidations count="25">
    <dataValidation type="list" allowBlank="1" showInputMessage="1" showErrorMessage="1" sqref="F6">
      <formula1>"To Buy,Pending,Packed,Done"</formula1>
    </dataValidation>
    <dataValidation type="list" allowBlank="1" showInputMessage="1" showErrorMessage="1" sqref="F7">
      <formula1>"To Buy,Pending,Packed,Done"</formula1>
    </dataValidation>
    <dataValidation type="list" allowBlank="1" showInputMessage="1" showErrorMessage="1" sqref="F8">
      <formula1>"To Buy,Pending,Packed,Done"</formula1>
    </dataValidation>
    <dataValidation type="list" allowBlank="1" showInputMessage="1" showErrorMessage="1" sqref="F9">
      <formula1>"To Buy,Pending,Packed,Done"</formula1>
    </dataValidation>
    <dataValidation type="list" allowBlank="1" showInputMessage="1" showErrorMessage="1" sqref="F10">
      <formula1>"To Buy,Pending,Packed,Done"</formula1>
    </dataValidation>
    <dataValidation type="list" allowBlank="1" showInputMessage="1" showErrorMessage="1" sqref="F11">
      <formula1>"To Buy,Pending,Packed,Done"</formula1>
    </dataValidation>
    <dataValidation type="list" allowBlank="1" showInputMessage="1" showErrorMessage="1" sqref="F12">
      <formula1>"To Buy,Pending,Packed,Done"</formula1>
    </dataValidation>
    <dataValidation type="list" allowBlank="1" showInputMessage="1" showErrorMessage="1" sqref="F13">
      <formula1>"To Buy,Pending,Packed,Done"</formula1>
    </dataValidation>
    <dataValidation type="list" allowBlank="1" showInputMessage="1" showErrorMessage="1" sqref="F14">
      <formula1>"To Buy,Pending,Packed,Done"</formula1>
    </dataValidation>
    <dataValidation type="list" allowBlank="1" showInputMessage="1" showErrorMessage="1" sqref="F15">
      <formula1>"To Buy,Pending,Packed,Done"</formula1>
    </dataValidation>
    <dataValidation type="list" allowBlank="1" showInputMessage="1" showErrorMessage="1" sqref="F16">
      <formula1>"To Buy,Pending,Packed,Done"</formula1>
    </dataValidation>
    <dataValidation type="list" allowBlank="1" showInputMessage="1" showErrorMessage="1" sqref="F17">
      <formula1>"To Buy,Pending,Packed,Done"</formula1>
    </dataValidation>
    <dataValidation type="list" allowBlank="1" showInputMessage="1" showErrorMessage="1" sqref="F18">
      <formula1>"To Buy,Pending,Packed,Done"</formula1>
    </dataValidation>
    <dataValidation type="list" allowBlank="1" showInputMessage="1" showErrorMessage="1" sqref="F19">
      <formula1>"To Buy,Pending,Packed,Done"</formula1>
    </dataValidation>
    <dataValidation type="list" allowBlank="1" showInputMessage="1" showErrorMessage="1" sqref="F20">
      <formula1>"To Buy,Pending,Packed,Done"</formula1>
    </dataValidation>
    <dataValidation type="list" allowBlank="1" showInputMessage="1" showErrorMessage="1" sqref="F21">
      <formula1>"To Buy,Pending,Packed,Done"</formula1>
    </dataValidation>
    <dataValidation type="list" allowBlank="1" showInputMessage="1" showErrorMessage="1" sqref="F22">
      <formula1>"To Buy,Pending,Packed,Done"</formula1>
    </dataValidation>
    <dataValidation type="list" allowBlank="1" showInputMessage="1" showErrorMessage="1" sqref="F23">
      <formula1>"To Buy,Pending,Packed,Done"</formula1>
    </dataValidation>
    <dataValidation type="list" allowBlank="1" showInputMessage="1" showErrorMessage="1" sqref="F24">
      <formula1>"To Buy,Pending,Packed,Done"</formula1>
    </dataValidation>
    <dataValidation type="list" allowBlank="1" showInputMessage="1" showErrorMessage="1" sqref="F25">
      <formula1>"To Buy,Pending,Packed,Done"</formula1>
    </dataValidation>
    <dataValidation type="list" allowBlank="1" showInputMessage="1" showErrorMessage="1" sqref="F26">
      <formula1>"To Buy,Pending,Packed,Done"</formula1>
    </dataValidation>
    <dataValidation type="list" allowBlank="1" showInputMessage="1" showErrorMessage="1" sqref="F27">
      <formula1>"To Buy,Pending,Packed,Done"</formula1>
    </dataValidation>
    <dataValidation type="list" allowBlank="1" showInputMessage="1" showErrorMessage="1" sqref="F28">
      <formula1>"To Buy,Pending,Packed,Done"</formula1>
    </dataValidation>
    <dataValidation type="list" allowBlank="1" showInputMessage="1" showErrorMessage="1" sqref="F29">
      <formula1>"To Buy,Pending,Packed,Done"</formula1>
    </dataValidation>
    <dataValidation type="list" allowBlank="1" showInputMessage="1" showErrorMessage="1" sqref="F30">
      <formula1>"To Buy,Pending,Packed,Done"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
  <sheetViews>
    <sheetView showGridLines="0" workbookViewId="0"/>
  </sheetViews>
  <sheetFormatPr defaultRowHeight="15"/>
  <cols>
    <col min="1" max="2" width="30.7109375" customWidth="1"/>
    <col min="3" max="3" width="25.7109375" customWidth="1"/>
    <col min="4" max="6" width="20.7109375" customWidth="1"/>
    <col min="7" max="7" width="15.7109375" customWidth="1"/>
  </cols>
  <sheetData>
    <row r="1" spans="1:7">
      <c r="A1" s="1" t="s">
        <v>155</v>
      </c>
    </row>
    <row r="2" spans="1:7">
      <c r="A2" s="5" t="s">
        <v>156</v>
      </c>
    </row>
    <row r="5" spans="1:7">
      <c r="A5" s="2" t="s">
        <v>122</v>
      </c>
      <c r="B5" s="2" t="s">
        <v>123</v>
      </c>
      <c r="C5" s="2" t="s">
        <v>157</v>
      </c>
      <c r="D5" s="2" t="s">
        <v>51</v>
      </c>
      <c r="E5" s="2" t="s">
        <v>52</v>
      </c>
      <c r="F5" s="2" t="s">
        <v>108</v>
      </c>
      <c r="G5" s="2" t="s">
        <v>109</v>
      </c>
    </row>
    <row r="6" spans="1:7" ht="22" customHeight="1">
      <c r="A6" s="3" t="s">
        <v>158</v>
      </c>
      <c r="B6" s="3" t="s">
        <v>125</v>
      </c>
      <c r="C6" s="3" t="s">
        <v>83</v>
      </c>
      <c r="D6" s="10" t="s">
        <v>16</v>
      </c>
      <c r="E6" s="3"/>
      <c r="F6" s="3">
        <f>IF(E6="", IFERROR(VLOOKUP(D6, '1. Roster &amp; Roles'!A:C, 3, FALSE), "Unassigned"), E6)</f>
        <v>0</v>
      </c>
      <c r="G6" s="3" t="s">
        <v>126</v>
      </c>
    </row>
    <row r="7" spans="1:7" ht="22" customHeight="1">
      <c r="A7" s="4" t="s">
        <v>159</v>
      </c>
      <c r="B7" s="4" t="s">
        <v>125</v>
      </c>
      <c r="C7" s="4" t="s">
        <v>83</v>
      </c>
      <c r="D7" s="10" t="s">
        <v>11</v>
      </c>
      <c r="E7" s="4"/>
      <c r="F7" s="4">
        <f>IF(E7="", IFERROR(VLOOKUP(D7, '1. Roster &amp; Roles'!A:C, 3, FALSE), "Unassigned"), E7)</f>
        <v>0</v>
      </c>
      <c r="G7" s="4" t="s">
        <v>126</v>
      </c>
    </row>
    <row r="8" spans="1:7" ht="22" customHeight="1">
      <c r="A8" s="3" t="s">
        <v>160</v>
      </c>
      <c r="B8" s="3" t="s">
        <v>125</v>
      </c>
      <c r="C8" s="3" t="s">
        <v>83</v>
      </c>
      <c r="D8" s="10" t="s">
        <v>11</v>
      </c>
      <c r="E8" s="3"/>
      <c r="F8" s="3">
        <f>IF(E8="", IFERROR(VLOOKUP(D8, '1. Roster &amp; Roles'!A:C, 3, FALSE), "Unassigned"), E8)</f>
        <v>0</v>
      </c>
      <c r="G8" s="3" t="s">
        <v>126</v>
      </c>
    </row>
    <row r="9" spans="1:7" ht="22" customHeight="1">
      <c r="A9" s="4" t="s">
        <v>161</v>
      </c>
      <c r="B9" s="4" t="s">
        <v>125</v>
      </c>
      <c r="C9" s="4" t="s">
        <v>83</v>
      </c>
      <c r="D9" s="10" t="s">
        <v>16</v>
      </c>
      <c r="E9" s="4"/>
      <c r="F9" s="4">
        <f>IF(E9="", IFERROR(VLOOKUP(D9, '1. Roster &amp; Roles'!A:C, 3, FALSE), "Unassigned"), E9)</f>
        <v>0</v>
      </c>
      <c r="G9" s="4" t="s">
        <v>126</v>
      </c>
    </row>
    <row r="10" spans="1:7" ht="22" customHeight="1">
      <c r="A10" s="3" t="s">
        <v>162</v>
      </c>
      <c r="B10" s="3" t="s">
        <v>163</v>
      </c>
      <c r="C10" s="3" t="s">
        <v>70</v>
      </c>
      <c r="D10" s="10" t="s">
        <v>16</v>
      </c>
      <c r="E10" s="3"/>
      <c r="F10" s="3">
        <f>IF(E10="", IFERROR(VLOOKUP(D10, '1. Roster &amp; Roles'!A:C, 3, FALSE), "Unassigned"), E10)</f>
        <v>0</v>
      </c>
      <c r="G10" s="3" t="s">
        <v>126</v>
      </c>
    </row>
    <row r="11" spans="1:7" ht="22" customHeight="1">
      <c r="A11" s="4" t="s">
        <v>164</v>
      </c>
      <c r="B11" s="4" t="s">
        <v>165</v>
      </c>
      <c r="C11" s="4" t="s">
        <v>70</v>
      </c>
      <c r="D11" s="10" t="s">
        <v>11</v>
      </c>
      <c r="E11" s="4"/>
      <c r="F11" s="4">
        <f>IF(E11="", IFERROR(VLOOKUP(D11, '1. Roster &amp; Roles'!A:C, 3, FALSE), "Unassigned"), E11)</f>
        <v>0</v>
      </c>
      <c r="G11" s="4" t="s">
        <v>126</v>
      </c>
    </row>
    <row r="12" spans="1:7" ht="22" customHeight="1">
      <c r="A12" s="3" t="s">
        <v>166</v>
      </c>
      <c r="B12" s="3" t="s">
        <v>125</v>
      </c>
      <c r="C12" s="3" t="s">
        <v>100</v>
      </c>
      <c r="D12" s="10" t="s">
        <v>25</v>
      </c>
      <c r="E12" s="3"/>
      <c r="F12" s="3">
        <f>IF(E12="", IFERROR(VLOOKUP(D12, '1. Roster &amp; Roles'!A:C, 3, FALSE), "Unassigned"), E12)</f>
        <v>0</v>
      </c>
      <c r="G12" s="3" t="s">
        <v>126</v>
      </c>
    </row>
    <row r="13" spans="1:7" ht="22" customHeight="1">
      <c r="A13" s="4" t="s">
        <v>167</v>
      </c>
      <c r="B13" s="4" t="s">
        <v>168</v>
      </c>
      <c r="C13" s="4" t="s">
        <v>86</v>
      </c>
      <c r="D13" s="10" t="s">
        <v>19</v>
      </c>
      <c r="E13" s="4"/>
      <c r="F13" s="4">
        <f>IF(E13="", IFERROR(VLOOKUP(D13, '1. Roster &amp; Roles'!A:C, 3, FALSE), "Unassigned"), E13)</f>
        <v>0</v>
      </c>
      <c r="G13" s="4" t="s">
        <v>126</v>
      </c>
    </row>
    <row r="14" spans="1:7" ht="22" customHeight="1">
      <c r="A14" s="3" t="s">
        <v>169</v>
      </c>
      <c r="B14" s="3" t="s">
        <v>165</v>
      </c>
      <c r="C14" s="3" t="s">
        <v>60</v>
      </c>
      <c r="D14" s="10" t="s">
        <v>25</v>
      </c>
      <c r="E14" s="3"/>
      <c r="F14" s="3">
        <f>IF(E14="", IFERROR(VLOOKUP(D14, '1. Roster &amp; Roles'!A:C, 3, FALSE), "Unassigned"), E14)</f>
        <v>0</v>
      </c>
      <c r="G14" s="3" t="s">
        <v>126</v>
      </c>
    </row>
    <row r="15" spans="1:7" ht="22" customHeight="1">
      <c r="A15" s="4" t="s">
        <v>170</v>
      </c>
      <c r="B15" s="4" t="s">
        <v>125</v>
      </c>
      <c r="C15" s="4" t="s">
        <v>60</v>
      </c>
      <c r="D15" s="10" t="s">
        <v>25</v>
      </c>
      <c r="E15" s="4"/>
      <c r="F15" s="4">
        <f>IF(E15="", IFERROR(VLOOKUP(D15, '1. Roster &amp; Roles'!A:C, 3, FALSE), "Unassigned"), E15)</f>
        <v>0</v>
      </c>
      <c r="G15" s="4" t="s">
        <v>126</v>
      </c>
    </row>
    <row r="16" spans="1:7" ht="22" customHeight="1">
      <c r="A16" s="3" t="s">
        <v>171</v>
      </c>
      <c r="B16" s="3" t="s">
        <v>172</v>
      </c>
      <c r="C16" s="3" t="s">
        <v>63</v>
      </c>
      <c r="D16" s="10" t="s">
        <v>11</v>
      </c>
      <c r="E16" s="3"/>
      <c r="F16" s="3">
        <f>IF(E16="", IFERROR(VLOOKUP(D16, '1. Roster &amp; Roles'!A:C, 3, FALSE), "Unassigned"), E16)</f>
        <v>0</v>
      </c>
      <c r="G16" s="3" t="s">
        <v>126</v>
      </c>
    </row>
    <row r="17" spans="1:7" ht="22" customHeight="1">
      <c r="A17" s="4" t="s">
        <v>173</v>
      </c>
      <c r="B17" s="4" t="s">
        <v>165</v>
      </c>
      <c r="C17" s="4" t="s">
        <v>63</v>
      </c>
      <c r="D17" s="10" t="s">
        <v>11</v>
      </c>
      <c r="E17" s="4"/>
      <c r="F17" s="4">
        <f>IF(E17="", IFERROR(VLOOKUP(D17, '1. Roster &amp; Roles'!A:C, 3, FALSE), "Unassigned"), E17)</f>
        <v>0</v>
      </c>
      <c r="G17" s="4" t="s">
        <v>126</v>
      </c>
    </row>
    <row r="18" spans="1:7" ht="22" customHeight="1">
      <c r="A18" s="3" t="s">
        <v>174</v>
      </c>
      <c r="B18" s="3" t="s">
        <v>165</v>
      </c>
      <c r="C18" s="3" t="s">
        <v>63</v>
      </c>
      <c r="D18" s="10" t="s">
        <v>11</v>
      </c>
      <c r="E18" s="3"/>
      <c r="F18" s="3">
        <f>IF(E18="", IFERROR(VLOOKUP(D18, '1. Roster &amp; Roles'!A:C, 3, FALSE), "Unassigned"), E18)</f>
        <v>0</v>
      </c>
      <c r="G18" s="3" t="s">
        <v>126</v>
      </c>
    </row>
    <row r="19" spans="1:7" ht="22" customHeight="1">
      <c r="A19" s="4" t="s">
        <v>175</v>
      </c>
      <c r="B19" s="4" t="s">
        <v>176</v>
      </c>
      <c r="C19" s="4" t="s">
        <v>63</v>
      </c>
      <c r="D19" s="10" t="s">
        <v>11</v>
      </c>
      <c r="E19" s="4"/>
      <c r="F19" s="4">
        <f>IF(E19="", IFERROR(VLOOKUP(D19, '1. Roster &amp; Roles'!A:C, 3, FALSE), "Unassigned"), E19)</f>
        <v>0</v>
      </c>
      <c r="G19" s="4" t="s">
        <v>126</v>
      </c>
    </row>
    <row r="20" spans="1:7" ht="22" customHeight="1">
      <c r="A20" s="3" t="s">
        <v>177</v>
      </c>
      <c r="B20" s="3" t="s">
        <v>176</v>
      </c>
      <c r="C20" s="3" t="s">
        <v>63</v>
      </c>
      <c r="D20" s="10" t="s">
        <v>11</v>
      </c>
      <c r="E20" s="3"/>
      <c r="F20" s="3">
        <f>IF(E20="", IFERROR(VLOOKUP(D20, '1. Roster &amp; Roles'!A:C, 3, FALSE), "Unassigned"), E20)</f>
        <v>0</v>
      </c>
      <c r="G20" s="3" t="s">
        <v>126</v>
      </c>
    </row>
  </sheetData>
  <dataValidations count="30">
    <dataValidation type="list" allowBlank="1" showInputMessage="1" sqref="C6">
      <formula1>'2. Dynamic Timetable'!$F$8:$F$40</formula1>
    </dataValidation>
    <dataValidation type="list" allowBlank="1" showInputMessage="1" showErrorMessage="1" sqref="G6">
      <formula1>"To Buy,Pending,Packed,Done"</formula1>
    </dataValidation>
    <dataValidation type="list" allowBlank="1" showInputMessage="1" sqref="C7">
      <formula1>'2. Dynamic Timetable'!$F$8:$F$40</formula1>
    </dataValidation>
    <dataValidation type="list" allowBlank="1" showInputMessage="1" showErrorMessage="1" sqref="G7">
      <formula1>"To Buy,Pending,Packed,Done"</formula1>
    </dataValidation>
    <dataValidation type="list" allowBlank="1" showInputMessage="1" sqref="C8">
      <formula1>'2. Dynamic Timetable'!$F$8:$F$40</formula1>
    </dataValidation>
    <dataValidation type="list" allowBlank="1" showInputMessage="1" showErrorMessage="1" sqref="G8">
      <formula1>"To Buy,Pending,Packed,Done"</formula1>
    </dataValidation>
    <dataValidation type="list" allowBlank="1" showInputMessage="1" sqref="C9">
      <formula1>'2. Dynamic Timetable'!$F$8:$F$40</formula1>
    </dataValidation>
    <dataValidation type="list" allowBlank="1" showInputMessage="1" showErrorMessage="1" sqref="G9">
      <formula1>"To Buy,Pending,Packed,Done"</formula1>
    </dataValidation>
    <dataValidation type="list" allowBlank="1" showInputMessage="1" sqref="C10">
      <formula1>'2. Dynamic Timetable'!$F$8:$F$40</formula1>
    </dataValidation>
    <dataValidation type="list" allowBlank="1" showInputMessage="1" showErrorMessage="1" sqref="G10">
      <formula1>"To Buy,Pending,Packed,Done"</formula1>
    </dataValidation>
    <dataValidation type="list" allowBlank="1" showInputMessage="1" sqref="C11">
      <formula1>'2. Dynamic Timetable'!$F$8:$F$40</formula1>
    </dataValidation>
    <dataValidation type="list" allowBlank="1" showInputMessage="1" showErrorMessage="1" sqref="G11">
      <formula1>"To Buy,Pending,Packed,Done"</formula1>
    </dataValidation>
    <dataValidation type="list" allowBlank="1" showInputMessage="1" sqref="C12">
      <formula1>'2. Dynamic Timetable'!$F$8:$F$40</formula1>
    </dataValidation>
    <dataValidation type="list" allowBlank="1" showInputMessage="1" showErrorMessage="1" sqref="G12">
      <formula1>"To Buy,Pending,Packed,Done"</formula1>
    </dataValidation>
    <dataValidation type="list" allowBlank="1" showInputMessage="1" sqref="C13">
      <formula1>'2. Dynamic Timetable'!$F$8:$F$40</formula1>
    </dataValidation>
    <dataValidation type="list" allowBlank="1" showInputMessage="1" showErrorMessage="1" sqref="G13">
      <formula1>"To Buy,Pending,Packed,Done"</formula1>
    </dataValidation>
    <dataValidation type="list" allowBlank="1" showInputMessage="1" sqref="C14">
      <formula1>'2. Dynamic Timetable'!$F$8:$F$40</formula1>
    </dataValidation>
    <dataValidation type="list" allowBlank="1" showInputMessage="1" showErrorMessage="1" sqref="G14">
      <formula1>"To Buy,Pending,Packed,Done"</formula1>
    </dataValidation>
    <dataValidation type="list" allowBlank="1" showInputMessage="1" sqref="C15">
      <formula1>'2. Dynamic Timetable'!$F$8:$F$40</formula1>
    </dataValidation>
    <dataValidation type="list" allowBlank="1" showInputMessage="1" showErrorMessage="1" sqref="G15">
      <formula1>"To Buy,Pending,Packed,Done"</formula1>
    </dataValidation>
    <dataValidation type="list" allowBlank="1" showInputMessage="1" sqref="C16">
      <formula1>'2. Dynamic Timetable'!$F$8:$F$40</formula1>
    </dataValidation>
    <dataValidation type="list" allowBlank="1" showInputMessage="1" showErrorMessage="1" sqref="G16">
      <formula1>"To Buy,Pending,Packed,Done"</formula1>
    </dataValidation>
    <dataValidation type="list" allowBlank="1" showInputMessage="1" sqref="C17">
      <formula1>'2. Dynamic Timetable'!$F$8:$F$40</formula1>
    </dataValidation>
    <dataValidation type="list" allowBlank="1" showInputMessage="1" showErrorMessage="1" sqref="G17">
      <formula1>"To Buy,Pending,Packed,Done"</formula1>
    </dataValidation>
    <dataValidation type="list" allowBlank="1" showInputMessage="1" sqref="C18">
      <formula1>'2. Dynamic Timetable'!$F$8:$F$40</formula1>
    </dataValidation>
    <dataValidation type="list" allowBlank="1" showInputMessage="1" showErrorMessage="1" sqref="G18">
      <formula1>"To Buy,Pending,Packed,Done"</formula1>
    </dataValidation>
    <dataValidation type="list" allowBlank="1" showInputMessage="1" sqref="C19">
      <formula1>'2. Dynamic Timetable'!$F$8:$F$40</formula1>
    </dataValidation>
    <dataValidation type="list" allowBlank="1" showInputMessage="1" showErrorMessage="1" sqref="G19">
      <formula1>"To Buy,Pending,Packed,Done"</formula1>
    </dataValidation>
    <dataValidation type="list" allowBlank="1" showInputMessage="1" sqref="C20">
      <formula1>'2. Dynamic Timetable'!$F$8:$F$40</formula1>
    </dataValidation>
    <dataValidation type="list" allowBlank="1" showInputMessage="1" showErrorMessage="1" sqref="G20">
      <formula1>"To Buy,Pending,Packed,Done"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3"/>
  <sheetViews>
    <sheetView showGridLines="0" workbookViewId="0"/>
  </sheetViews>
  <sheetFormatPr defaultRowHeight="15"/>
  <cols>
    <col min="1" max="2" width="30.7109375" customWidth="1"/>
    <col min="3" max="5" width="20.7109375" customWidth="1"/>
    <col min="6" max="6" width="15.7109375" customWidth="1"/>
  </cols>
  <sheetData>
    <row r="1" spans="1:6">
      <c r="A1" s="1" t="s">
        <v>178</v>
      </c>
    </row>
    <row r="5" spans="1:6">
      <c r="A5" s="2" t="s">
        <v>122</v>
      </c>
      <c r="B5" s="2" t="s">
        <v>123</v>
      </c>
      <c r="C5" s="2" t="s">
        <v>51</v>
      </c>
      <c r="D5" s="2" t="s">
        <v>52</v>
      </c>
      <c r="E5" s="2" t="s">
        <v>108</v>
      </c>
      <c r="F5" s="2" t="s">
        <v>109</v>
      </c>
    </row>
    <row r="6" spans="1:6" ht="22" customHeight="1">
      <c r="A6" s="3" t="s">
        <v>179</v>
      </c>
      <c r="B6" s="3" t="s">
        <v>180</v>
      </c>
      <c r="C6" s="10" t="s">
        <v>29</v>
      </c>
      <c r="D6" s="3"/>
      <c r="E6" s="3">
        <f>IF(D6="", IFERROR(VLOOKUP(C6, '1. Roster &amp; Roles'!A:C, 3, FALSE), "Unassigned"), D6)</f>
        <v>0</v>
      </c>
      <c r="F6" s="3" t="s">
        <v>126</v>
      </c>
    </row>
    <row r="7" spans="1:6" ht="22" customHeight="1">
      <c r="A7" s="4" t="s">
        <v>181</v>
      </c>
      <c r="B7" s="4" t="s">
        <v>182</v>
      </c>
      <c r="C7" s="10" t="s">
        <v>29</v>
      </c>
      <c r="D7" s="4"/>
      <c r="E7" s="4">
        <f>IF(D7="", IFERROR(VLOOKUP(C7, '1. Roster &amp; Roles'!A:C, 3, FALSE), "Unassigned"), D7)</f>
        <v>0</v>
      </c>
      <c r="F7" s="4" t="s">
        <v>126</v>
      </c>
    </row>
    <row r="8" spans="1:6" ht="22" customHeight="1">
      <c r="A8" s="3" t="s">
        <v>183</v>
      </c>
      <c r="B8" s="3" t="s">
        <v>184</v>
      </c>
      <c r="C8" s="10" t="s">
        <v>29</v>
      </c>
      <c r="D8" s="3"/>
      <c r="E8" s="3">
        <f>IF(D8="", IFERROR(VLOOKUP(C8, '1. Roster &amp; Roles'!A:C, 3, FALSE), "Unassigned"), D8)</f>
        <v>0</v>
      </c>
      <c r="F8" s="3" t="s">
        <v>126</v>
      </c>
    </row>
    <row r="9" spans="1:6" ht="22" customHeight="1">
      <c r="A9" s="4" t="s">
        <v>185</v>
      </c>
      <c r="B9" s="4" t="s">
        <v>186</v>
      </c>
      <c r="C9" s="10" t="s">
        <v>29</v>
      </c>
      <c r="D9" s="4"/>
      <c r="E9" s="4">
        <f>IF(D9="", IFERROR(VLOOKUP(C9, '1. Roster &amp; Roles'!A:C, 3, FALSE), "Unassigned"), D9)</f>
        <v>0</v>
      </c>
      <c r="F9" s="4" t="s">
        <v>126</v>
      </c>
    </row>
    <row r="10" spans="1:6" ht="22" customHeight="1">
      <c r="A10" s="3" t="s">
        <v>187</v>
      </c>
      <c r="B10" s="3" t="s">
        <v>188</v>
      </c>
      <c r="C10" s="10" t="s">
        <v>29</v>
      </c>
      <c r="D10" s="3"/>
      <c r="E10" s="3">
        <f>IF(D10="", IFERROR(VLOOKUP(C10, '1. Roster &amp; Roles'!A:C, 3, FALSE), "Unassigned"), D10)</f>
        <v>0</v>
      </c>
      <c r="F10" s="3" t="s">
        <v>126</v>
      </c>
    </row>
    <row r="11" spans="1:6" ht="22" customHeight="1">
      <c r="A11" s="4" t="s">
        <v>189</v>
      </c>
      <c r="B11" s="4" t="s">
        <v>190</v>
      </c>
      <c r="C11" s="10" t="s">
        <v>29</v>
      </c>
      <c r="D11" s="4"/>
      <c r="E11" s="4">
        <f>IF(D11="", IFERROR(VLOOKUP(C11, '1. Roster &amp; Roles'!A:C, 3, FALSE), "Unassigned"), D11)</f>
        <v>0</v>
      </c>
      <c r="F11" s="4" t="s">
        <v>126</v>
      </c>
    </row>
    <row r="12" spans="1:6" ht="22" customHeight="1">
      <c r="A12" s="3" t="s">
        <v>191</v>
      </c>
      <c r="B12" s="3" t="s">
        <v>192</v>
      </c>
      <c r="C12" s="10" t="s">
        <v>29</v>
      </c>
      <c r="D12" s="3"/>
      <c r="E12" s="3">
        <f>IF(D12="", IFERROR(VLOOKUP(C12, '1. Roster &amp; Roles'!A:C, 3, FALSE), "Unassigned"), D12)</f>
        <v>0</v>
      </c>
      <c r="F12" s="3" t="s">
        <v>126</v>
      </c>
    </row>
    <row r="13" spans="1:6" ht="22" customHeight="1">
      <c r="A13" s="4" t="s">
        <v>193</v>
      </c>
      <c r="B13" s="4" t="s">
        <v>194</v>
      </c>
      <c r="C13" s="10" t="s">
        <v>29</v>
      </c>
      <c r="D13" s="4"/>
      <c r="E13" s="4">
        <f>IF(D13="", IFERROR(VLOOKUP(C13, '1. Roster &amp; Roles'!A:C, 3, FALSE), "Unassigned"), D13)</f>
        <v>0</v>
      </c>
      <c r="F13" s="4" t="s">
        <v>126</v>
      </c>
    </row>
    <row r="14" spans="1:6" ht="22" customHeight="1">
      <c r="A14" s="3" t="s">
        <v>195</v>
      </c>
      <c r="B14" s="3" t="s">
        <v>188</v>
      </c>
      <c r="C14" s="10" t="s">
        <v>29</v>
      </c>
      <c r="D14" s="3"/>
      <c r="E14" s="3">
        <f>IF(D14="", IFERROR(VLOOKUP(C14, '1. Roster &amp; Roles'!A:C, 3, FALSE), "Unassigned"), D14)</f>
        <v>0</v>
      </c>
      <c r="F14" s="3" t="s">
        <v>126</v>
      </c>
    </row>
    <row r="15" spans="1:6" ht="22" customHeight="1">
      <c r="A15" s="4" t="s">
        <v>196</v>
      </c>
      <c r="B15" s="4" t="s">
        <v>197</v>
      </c>
      <c r="C15" s="10" t="s">
        <v>29</v>
      </c>
      <c r="D15" s="4"/>
      <c r="E15" s="4">
        <f>IF(D15="", IFERROR(VLOOKUP(C15, '1. Roster &amp; Roles'!A:C, 3, FALSE), "Unassigned"), D15)</f>
        <v>0</v>
      </c>
      <c r="F15" s="4" t="s">
        <v>126</v>
      </c>
    </row>
    <row r="16" spans="1:6" ht="22" customHeight="1">
      <c r="A16" s="3" t="s">
        <v>198</v>
      </c>
      <c r="B16" s="3" t="s">
        <v>197</v>
      </c>
      <c r="C16" s="10" t="s">
        <v>29</v>
      </c>
      <c r="D16" s="3"/>
      <c r="E16" s="3">
        <f>IF(D16="", IFERROR(VLOOKUP(C16, '1. Roster &amp; Roles'!A:C, 3, FALSE), "Unassigned"), D16)</f>
        <v>0</v>
      </c>
      <c r="F16" s="3" t="s">
        <v>126</v>
      </c>
    </row>
    <row r="17" spans="1:6" ht="22" customHeight="1">
      <c r="A17" s="4" t="s">
        <v>199</v>
      </c>
      <c r="B17" s="4" t="s">
        <v>200</v>
      </c>
      <c r="C17" s="10" t="s">
        <v>29</v>
      </c>
      <c r="D17" s="4"/>
      <c r="E17" s="4">
        <f>IF(D17="", IFERROR(VLOOKUP(C17, '1. Roster &amp; Roles'!A:C, 3, FALSE), "Unassigned"), D17)</f>
        <v>0</v>
      </c>
      <c r="F17" s="4" t="s">
        <v>126</v>
      </c>
    </row>
    <row r="18" spans="1:6" ht="22" customHeight="1">
      <c r="A18" s="3" t="s">
        <v>201</v>
      </c>
      <c r="B18" s="3" t="s">
        <v>202</v>
      </c>
      <c r="C18" s="10" t="s">
        <v>29</v>
      </c>
      <c r="D18" s="3"/>
      <c r="E18" s="3">
        <f>IF(D18="", IFERROR(VLOOKUP(C18, '1. Roster &amp; Roles'!A:C, 3, FALSE), "Unassigned"), D18)</f>
        <v>0</v>
      </c>
      <c r="F18" s="3" t="s">
        <v>126</v>
      </c>
    </row>
    <row r="19" spans="1:6" ht="22" customHeight="1">
      <c r="A19" s="4" t="s">
        <v>203</v>
      </c>
      <c r="B19" s="4" t="s">
        <v>204</v>
      </c>
      <c r="C19" s="10" t="s">
        <v>29</v>
      </c>
      <c r="D19" s="4"/>
      <c r="E19" s="4">
        <f>IF(D19="", IFERROR(VLOOKUP(C19, '1. Roster &amp; Roles'!A:C, 3, FALSE), "Unassigned"), D19)</f>
        <v>0</v>
      </c>
      <c r="F19" s="4" t="s">
        <v>126</v>
      </c>
    </row>
    <row r="20" spans="1:6" ht="22" customHeight="1">
      <c r="A20" s="3" t="s">
        <v>205</v>
      </c>
      <c r="B20" s="3" t="s">
        <v>200</v>
      </c>
      <c r="C20" s="10" t="s">
        <v>29</v>
      </c>
      <c r="D20" s="3"/>
      <c r="E20" s="3">
        <f>IF(D20="", IFERROR(VLOOKUP(C20, '1. Roster &amp; Roles'!A:C, 3, FALSE), "Unassigned"), D20)</f>
        <v>0</v>
      </c>
      <c r="F20" s="3" t="s">
        <v>126</v>
      </c>
    </row>
    <row r="21" spans="1:6" ht="22" customHeight="1">
      <c r="A21" s="4" t="s">
        <v>206</v>
      </c>
      <c r="B21" s="4" t="s">
        <v>207</v>
      </c>
      <c r="C21" s="10" t="s">
        <v>29</v>
      </c>
      <c r="D21" s="4"/>
      <c r="E21" s="4">
        <f>IF(D21="", IFERROR(VLOOKUP(C21, '1. Roster &amp; Roles'!A:C, 3, FALSE), "Unassigned"), D21)</f>
        <v>0</v>
      </c>
      <c r="F21" s="4" t="s">
        <v>126</v>
      </c>
    </row>
    <row r="22" spans="1:6" ht="22" customHeight="1">
      <c r="A22" s="3" t="s">
        <v>208</v>
      </c>
      <c r="B22" s="3" t="s">
        <v>209</v>
      </c>
      <c r="C22" s="10" t="s">
        <v>29</v>
      </c>
      <c r="D22" s="3"/>
      <c r="E22" s="3">
        <f>IF(D22="", IFERROR(VLOOKUP(C22, '1. Roster &amp; Roles'!A:C, 3, FALSE), "Unassigned"), D22)</f>
        <v>0</v>
      </c>
      <c r="F22" s="3" t="s">
        <v>126</v>
      </c>
    </row>
    <row r="23" spans="1:6" ht="22" customHeight="1">
      <c r="A23" s="4" t="s">
        <v>210</v>
      </c>
      <c r="B23" s="4" t="s">
        <v>211</v>
      </c>
      <c r="C23" s="10" t="s">
        <v>29</v>
      </c>
      <c r="D23" s="4"/>
      <c r="E23" s="4">
        <f>IF(D23="", IFERROR(VLOOKUP(C23, '1. Roster &amp; Roles'!A:C, 3, FALSE), "Unassigned"), D23)</f>
        <v>0</v>
      </c>
      <c r="F23" s="4" t="s">
        <v>126</v>
      </c>
    </row>
  </sheetData>
  <dataValidations count="18">
    <dataValidation type="list" allowBlank="1" showInputMessage="1" showErrorMessage="1" sqref="F6">
      <formula1>"To Buy,Pending,Packed,Done"</formula1>
    </dataValidation>
    <dataValidation type="list" allowBlank="1" showInputMessage="1" showErrorMessage="1" sqref="F7">
      <formula1>"To Buy,Pending,Packed,Done"</formula1>
    </dataValidation>
    <dataValidation type="list" allowBlank="1" showInputMessage="1" showErrorMessage="1" sqref="F8">
      <formula1>"To Buy,Pending,Packed,Done"</formula1>
    </dataValidation>
    <dataValidation type="list" allowBlank="1" showInputMessage="1" showErrorMessage="1" sqref="F9">
      <formula1>"To Buy,Pending,Packed,Done"</formula1>
    </dataValidation>
    <dataValidation type="list" allowBlank="1" showInputMessage="1" showErrorMessage="1" sqref="F10">
      <formula1>"To Buy,Pending,Packed,Done"</formula1>
    </dataValidation>
    <dataValidation type="list" allowBlank="1" showInputMessage="1" showErrorMessage="1" sqref="F11">
      <formula1>"To Buy,Pending,Packed,Done"</formula1>
    </dataValidation>
    <dataValidation type="list" allowBlank="1" showInputMessage="1" showErrorMessage="1" sqref="F12">
      <formula1>"To Buy,Pending,Packed,Done"</formula1>
    </dataValidation>
    <dataValidation type="list" allowBlank="1" showInputMessage="1" showErrorMessage="1" sqref="F13">
      <formula1>"To Buy,Pending,Packed,Done"</formula1>
    </dataValidation>
    <dataValidation type="list" allowBlank="1" showInputMessage="1" showErrorMessage="1" sqref="F14">
      <formula1>"To Buy,Pending,Packed,Done"</formula1>
    </dataValidation>
    <dataValidation type="list" allowBlank="1" showInputMessage="1" showErrorMessage="1" sqref="F15">
      <formula1>"To Buy,Pending,Packed,Done"</formula1>
    </dataValidation>
    <dataValidation type="list" allowBlank="1" showInputMessage="1" showErrorMessage="1" sqref="F16">
      <formula1>"To Buy,Pending,Packed,Done"</formula1>
    </dataValidation>
    <dataValidation type="list" allowBlank="1" showInputMessage="1" showErrorMessage="1" sqref="F17">
      <formula1>"To Buy,Pending,Packed,Done"</formula1>
    </dataValidation>
    <dataValidation type="list" allowBlank="1" showInputMessage="1" showErrorMessage="1" sqref="F18">
      <formula1>"To Buy,Pending,Packed,Done"</formula1>
    </dataValidation>
    <dataValidation type="list" allowBlank="1" showInputMessage="1" showErrorMessage="1" sqref="F19">
      <formula1>"To Buy,Pending,Packed,Done"</formula1>
    </dataValidation>
    <dataValidation type="list" allowBlank="1" showInputMessage="1" showErrorMessage="1" sqref="F20">
      <formula1>"To Buy,Pending,Packed,Done"</formula1>
    </dataValidation>
    <dataValidation type="list" allowBlank="1" showInputMessage="1" showErrorMessage="1" sqref="F21">
      <formula1>"To Buy,Pending,Packed,Done"</formula1>
    </dataValidation>
    <dataValidation type="list" allowBlank="1" showInputMessage="1" showErrorMessage="1" sqref="F22">
      <formula1>"To Buy,Pending,Packed,Done"</formula1>
    </dataValidation>
    <dataValidation type="list" allowBlank="1" showInputMessage="1" showErrorMessage="1" sqref="F23">
      <formula1>"To Buy,Pending,Packed,Done"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4"/>
  <sheetViews>
    <sheetView showGridLines="0" workbookViewId="0"/>
  </sheetViews>
  <sheetFormatPr defaultRowHeight="15"/>
  <cols>
    <col min="1" max="1" width="20.7109375" customWidth="1"/>
    <col min="2" max="2" width="35.7109375" customWidth="1"/>
    <col min="3" max="3" width="85.7109375" customWidth="1"/>
  </cols>
  <sheetData>
    <row r="1" spans="1:3">
      <c r="A1" s="1" t="s">
        <v>212</v>
      </c>
    </row>
    <row r="2" spans="1:3">
      <c r="A2" s="5" t="s">
        <v>213</v>
      </c>
    </row>
    <row r="5" spans="1:3">
      <c r="A5" s="2" t="s">
        <v>157</v>
      </c>
      <c r="B5" s="2" t="s">
        <v>214</v>
      </c>
      <c r="C5" s="2" t="s">
        <v>215</v>
      </c>
    </row>
    <row r="6" spans="1:3" ht="120" customHeight="1">
      <c r="A6" s="3" t="s">
        <v>58</v>
      </c>
      <c r="B6" s="3" t="s">
        <v>216</v>
      </c>
      <c r="C6" s="3" t="s">
        <v>217</v>
      </c>
    </row>
    <row r="7" spans="1:3" ht="120" customHeight="1">
      <c r="A7" s="4" t="s">
        <v>60</v>
      </c>
      <c r="B7" s="4" t="s">
        <v>218</v>
      </c>
      <c r="C7" s="4" t="s">
        <v>219</v>
      </c>
    </row>
    <row r="8" spans="1:3" ht="120" customHeight="1">
      <c r="A8" s="3" t="s">
        <v>70</v>
      </c>
      <c r="B8" s="3" t="s">
        <v>220</v>
      </c>
      <c r="C8" s="3" t="s">
        <v>221</v>
      </c>
    </row>
    <row r="9" spans="1:3" ht="120" customHeight="1">
      <c r="A9" s="4" t="s">
        <v>73</v>
      </c>
      <c r="B9" s="4" t="s">
        <v>222</v>
      </c>
      <c r="C9" s="4" t="s">
        <v>223</v>
      </c>
    </row>
    <row r="10" spans="1:3" ht="120" customHeight="1">
      <c r="A10" s="3" t="s">
        <v>83</v>
      </c>
      <c r="B10" s="3" t="s">
        <v>224</v>
      </c>
      <c r="C10" s="3" t="s">
        <v>225</v>
      </c>
    </row>
    <row r="11" spans="1:3" ht="120" customHeight="1">
      <c r="A11" s="4" t="s">
        <v>86</v>
      </c>
      <c r="B11" s="4" t="s">
        <v>226</v>
      </c>
      <c r="C11" s="4" t="s">
        <v>227</v>
      </c>
    </row>
    <row r="12" spans="1:3" ht="120" customHeight="1">
      <c r="A12" s="3" t="s">
        <v>88</v>
      </c>
      <c r="B12" s="3" t="s">
        <v>228</v>
      </c>
      <c r="C12" s="3" t="s">
        <v>229</v>
      </c>
    </row>
    <row r="13" spans="1:3" ht="120" customHeight="1">
      <c r="A13" s="4" t="s">
        <v>92</v>
      </c>
      <c r="B13" s="4" t="s">
        <v>230</v>
      </c>
      <c r="C13" s="4" t="s">
        <v>231</v>
      </c>
    </row>
    <row r="14" spans="1:3" ht="120" customHeight="1">
      <c r="A14" s="3" t="s">
        <v>100</v>
      </c>
      <c r="B14" s="3" t="s">
        <v>232</v>
      </c>
      <c r="C14" s="3" t="s">
        <v>233</v>
      </c>
    </row>
  </sheetData>
  <dataValidations count="9">
    <dataValidation type="list" allowBlank="1" showInputMessage="1" sqref="A6">
      <formula1>'2. Dynamic Timetable'!$F$8:$F$40</formula1>
    </dataValidation>
    <dataValidation type="list" allowBlank="1" showInputMessage="1" sqref="A7">
      <formula1>'2. Dynamic Timetable'!$F$8:$F$40</formula1>
    </dataValidation>
    <dataValidation type="list" allowBlank="1" showInputMessage="1" sqref="A8">
      <formula1>'2. Dynamic Timetable'!$F$8:$F$40</formula1>
    </dataValidation>
    <dataValidation type="list" allowBlank="1" showInputMessage="1" sqref="A9">
      <formula1>'2. Dynamic Timetable'!$F$8:$F$40</formula1>
    </dataValidation>
    <dataValidation type="list" allowBlank="1" showInputMessage="1" sqref="A10">
      <formula1>'2. Dynamic Timetable'!$F$8:$F$40</formula1>
    </dataValidation>
    <dataValidation type="list" allowBlank="1" showInputMessage="1" sqref="A11">
      <formula1>'2. Dynamic Timetable'!$F$8:$F$40</formula1>
    </dataValidation>
    <dataValidation type="list" allowBlank="1" showInputMessage="1" sqref="A12">
      <formula1>'2. Dynamic Timetable'!$F$8:$F$40</formula1>
    </dataValidation>
    <dataValidation type="list" allowBlank="1" showInputMessage="1" sqref="A13">
      <formula1>'2. Dynamic Timetable'!$F$8:$F$40</formula1>
    </dataValidation>
    <dataValidation type="list" allowBlank="1" showInputMessage="1" sqref="A14">
      <formula1>'2. Dynamic Timetable'!$F$8:$F$40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Roster &amp; Roles</vt:lpstr>
      <vt:lpstr>2. Dynamic Timetable</vt:lpstr>
      <vt:lpstr>3. Task Checklist</vt:lpstr>
      <vt:lpstr>4. Camp Equipment</vt:lpstr>
      <vt:lpstr>5. Activity Equipment</vt:lpstr>
      <vt:lpstr>6. Food Shopping</vt:lpstr>
      <vt:lpstr>7.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2026-07-21T20:38:04Z</dcterms:created>
  <dcterms:modified xsi:type="dcterms:W3CDTF">2026-07-21T20:38:04Z</dcterms:modified>
</cp:coreProperties>
</file>
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oster &amp; Roles" sheetId="1" r:id="rId1"/>
    <sheet name="2. Dynamic Timetable" sheetId="2" r:id="rId2"/>
    <sheet name="3. Task Checklist" sheetId="3" r:id="rId3"/>
    <sheet name="4. Equipment &amp; Shopping" sheetId="4" r:id="rId4"/>
    <sheet name="5. Activity Playbook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<sst xmlns="http://schemas.openxmlformats.org/spreadsheetml/2006/main" count="294" uniqueCount="170">
  <si>
    <t>Roles &amp; Volunteer Roster</t>
  </si>
  <si>
    <t>Role</t>
  </si>
  <si>
    <t>Detailed Description &amp; Default Duties</t>
  </si>
  <si>
    <t>Assigned Leader</t>
  </si>
  <si>
    <t>Contact Number</t>
  </si>
  <si>
    <t>Email</t>
  </si>
  <si>
    <t>Oversight Lead</t>
  </si>
  <si>
    <t>• Ultimate decision-making authority during the camp.
• Handles live issues (emergencies, weather changes).
• Leads high-level reflections and debriefs.</t>
  </si>
  <si>
    <t>Ian Sinclair</t>
  </si>
  <si>
    <t>+27 63 893 9452</t>
  </si>
  <si>
    <t>sinclairian2408@gmail.com</t>
  </si>
  <si>
    <t>Logistics Lead</t>
  </si>
  <si>
    <t>• Manages all physical setup and breakdown.
• Coordinates camp layout, tents/bivvies, fire preparation.</t>
  </si>
  <si>
    <t>Neil Harrower</t>
  </si>
  <si>
    <t>+27 71 950 8363</t>
  </si>
  <si>
    <t>neilharrower@gmail.com</t>
  </si>
  <si>
    <t>Session Coordinator</t>
  </si>
  <si>
    <t>• Facilitates the core structured spiritual/emotional sessions (e.g., Malachi discussion, Communion).</t>
  </si>
  <si>
    <t>Marvin Welby-Solomon</t>
  </si>
  <si>
    <t>Administration</t>
  </si>
  <si>
    <t>• Handles all paperwork, nametags, and gate-keeping.</t>
  </si>
  <si>
    <t>Paul Barter</t>
  </si>
  <si>
    <t>Activity Facilitator</t>
  </si>
  <si>
    <t>• Brings high energy to run the games and challenges (Clay Latte, Tug of War, Name Games).</t>
  </si>
  <si>
    <t>Kingsley Williams</t>
  </si>
  <si>
    <t>+27 83 260 5311</t>
  </si>
  <si>
    <t>Catering / Food Lead</t>
  </si>
  <si>
    <t>• Owns the food schedule. Ensures meals are prepped on time.</t>
  </si>
  <si>
    <t>Kevin de Wet</t>
  </si>
  <si>
    <t>+27 82 908 2460</t>
  </si>
  <si>
    <t>General Helper 1</t>
  </si>
  <si>
    <t>Assists the Logistics and Catering leads where extra hands are needed.</t>
  </si>
  <si>
    <t>Raldo Kruger</t>
  </si>
  <si>
    <t>+27 84 511 8606</t>
  </si>
  <si>
    <t>General Helper 2</t>
  </si>
  <si>
    <t>Assists the Activity Facilitator and Session Coordinator.</t>
  </si>
  <si>
    <t>Gavin Graham</t>
  </si>
  <si>
    <t>Kickoff Camp Run Sheet</t>
  </si>
  <si>
    <t>Change the Camp Start Time below. Pre-camp tasks calculate backwards. Type into "Manual Start Override" to break the chain and set a custom time.</t>
  </si>
  <si>
    <t>Camp Start Time:</t>
  </si>
  <si>
    <t>Day</t>
  </si>
  <si>
    <t>Phase</t>
  </si>
  <si>
    <t>Offset (Days Before)</t>
  </si>
  <si>
    <t>Manual Start Override</t>
  </si>
  <si>
    <t>Duration (min)</t>
  </si>
  <si>
    <t>Calculated Start</t>
  </si>
  <si>
    <t>Calculated End</t>
  </si>
  <si>
    <t>Activity Name</t>
  </si>
  <si>
    <t>Full Task Description</t>
  </si>
  <si>
    <t>Linked Equipment</t>
  </si>
  <si>
    <t>Default Role</t>
  </si>
  <si>
    <t>Custom Override</t>
  </si>
  <si>
    <t>Final Leader</t>
  </si>
  <si>
    <t>Pre-Camp</t>
  </si>
  <si>
    <t>Planning</t>
  </si>
  <si>
    <t>RSVP Review</t>
  </si>
  <si>
    <t>Finalize RSVP list and dietary requirements</t>
  </si>
  <si>
    <t>Medical Forms</t>
  </si>
  <si>
    <t>Review medical forms</t>
  </si>
  <si>
    <t>Prep</t>
  </si>
  <si>
    <t>Shopping</t>
  </si>
  <si>
    <t>Purchase all shopping list items (Food/Drinks)</t>
  </si>
  <si>
    <t>Print Admin</t>
  </si>
  <si>
    <t>Print Name Tags and laminate Father/Daughter questions</t>
  </si>
  <si>
    <t>Logistics</t>
  </si>
  <si>
    <t>Venue Confirm</t>
  </si>
  <si>
    <t>Confirm venue access codes and final layout</t>
  </si>
  <si>
    <t>Packing</t>
  </si>
  <si>
    <t>Pack Camp</t>
  </si>
  <si>
    <t>Pack all camp equipment, tents, and activities gear</t>
  </si>
  <si>
    <t>Food Prep</t>
  </si>
  <si>
    <t>Pre-Pack Food</t>
  </si>
  <si>
    <t>Pre-pack braai brood and perishables</t>
  </si>
  <si>
    <t>Saturday</t>
  </si>
  <si>
    <t>Travel</t>
  </si>
  <si>
    <t>Drive to camp venue (3 hours before start)</t>
  </si>
  <si>
    <t>Arrival</t>
  </si>
  <si>
    <t>Arrive at camp, name tags, get to know contacts</t>
  </si>
  <si>
    <t>Ice Breaker</t>
  </si>
  <si>
    <t>Get to know each other (Daughters introduce Fathers, name game)</t>
  </si>
  <si>
    <t>Activity</t>
  </si>
  <si>
    <t>Clay Latte</t>
  </si>
  <si>
    <t>Father and daughter activities (Clay Latte) &amp; Dam swim</t>
  </si>
  <si>
    <t>Setup</t>
  </si>
  <si>
    <t>Camp Setup</t>
  </si>
  <si>
    <t>Set-up shelters, Bivvie equipment, prepare fire</t>
  </si>
  <si>
    <t>Dinner Prep</t>
  </si>
  <si>
    <t>Prepare and Cook Supper</t>
  </si>
  <si>
    <t>Dinner</t>
  </si>
  <si>
    <t>Dads and daughters have supper together</t>
  </si>
  <si>
    <t>Evening</t>
  </si>
  <si>
    <t>Stokbrood</t>
  </si>
  <si>
    <t>Marshmallows and stokbrood at fire, chat about questions</t>
  </si>
  <si>
    <t>Wind Down</t>
  </si>
  <si>
    <t>Skits &amp; Debrief</t>
  </si>
  <si>
    <t>Present skits and carving, end of evening debrief</t>
  </si>
  <si>
    <t>Lights Out</t>
  </si>
  <si>
    <t>Bed Time</t>
  </si>
  <si>
    <t>Bed time</t>
  </si>
  <si>
    <t>Sunday</t>
  </si>
  <si>
    <t>Morning</t>
  </si>
  <si>
    <t>Wake Up</t>
  </si>
  <si>
    <t>Wake up, dam swim, boil kettles, coffee</t>
  </si>
  <si>
    <t>Session 1</t>
  </si>
  <si>
    <t>Malachi</t>
  </si>
  <si>
    <t>Malachi discussion (sand demo) and communion</t>
  </si>
  <si>
    <t>Session 2</t>
  </si>
  <si>
    <t>Quiet Time</t>
  </si>
  <si>
    <t>Father and Daughter Quiet time (reflect on Malachi)</t>
  </si>
  <si>
    <t>Breakfast</t>
  </si>
  <si>
    <t>Session 3</t>
  </si>
  <si>
    <t>Manhood Talk</t>
  </si>
  <si>
    <t>Dad's talk and daughters talk split</t>
  </si>
  <si>
    <t>Debrief</t>
  </si>
  <si>
    <t>Final Debrief</t>
  </si>
  <si>
    <t>Reflection on the sleepover, present carving</t>
  </si>
  <si>
    <t>Pack Up</t>
  </si>
  <si>
    <t>Pack up camp</t>
  </si>
  <si>
    <t>Tug of War</t>
  </si>
  <si>
    <t>Father and Daughter Activity (Tug of war, Swim)</t>
  </si>
  <si>
    <t>Departure</t>
  </si>
  <si>
    <t>Depart from camp</t>
  </si>
  <si>
    <t>General Task Checklist</t>
  </si>
  <si>
    <t>Master Equipment &amp; Shopping List</t>
  </si>
  <si>
    <t>Category</t>
  </si>
  <si>
    <t>Item</t>
  </si>
  <si>
    <t>Qty</t>
  </si>
  <si>
    <t>Linked Activity</t>
  </si>
  <si>
    <t>Final Assigned</t>
  </si>
  <si>
    <t>Status</t>
  </si>
  <si>
    <t>Activities</t>
  </si>
  <si>
    <t>Dad and daughter questions</t>
  </si>
  <si>
    <t>16</t>
  </si>
  <si>
    <t>Pending</t>
  </si>
  <si>
    <t>Stokbrood Stok</t>
  </si>
  <si>
    <t>43</t>
  </si>
  <si>
    <t>Tug of war rope</t>
  </si>
  <si>
    <t>1</t>
  </si>
  <si>
    <t>Communion cups</t>
  </si>
  <si>
    <t>50</t>
  </si>
  <si>
    <t>Claylatt</t>
  </si>
  <si>
    <t>Clay - bag</t>
  </si>
  <si>
    <t>Bivvy's (Shelter)</t>
  </si>
  <si>
    <t>21.5</t>
  </si>
  <si>
    <t>Guy ropes (Shelter)</t>
  </si>
  <si>
    <t>86</t>
  </si>
  <si>
    <t>Pegs (Shelter)</t>
  </si>
  <si>
    <t>Shopping List (Food)</t>
  </si>
  <si>
    <t>Coffee Instant</t>
  </si>
  <si>
    <t>2 jars</t>
  </si>
  <si>
    <t>Braai Brood (stok brood)</t>
  </si>
  <si>
    <t>6 bags</t>
  </si>
  <si>
    <t>Marshmallows</t>
  </si>
  <si>
    <t>3 x 300g</t>
  </si>
  <si>
    <t>Communion juice (Grape)</t>
  </si>
  <si>
    <t>2 L</t>
  </si>
  <si>
    <t>Communion loaf</t>
  </si>
  <si>
    <t>1 loaf</t>
  </si>
  <si>
    <t>Activity Playbook</t>
  </si>
  <si>
    <t>Detailed rules, concepts, and instructions for each activity.</t>
  </si>
  <si>
    <t>Goal / Objective</t>
  </si>
  <si>
    <t>Instructions &amp; Rules</t>
  </si>
  <si>
    <t>Draw fathers and daughters together through teamwork.</t>
  </si>
  <si>
    <t>Dad and daughter tied together with a guy rope. Must navigate an obstacle course or complete a challenge as a mixed team across the middle line.</t>
  </si>
  <si>
    <t>Quality conversational time.</t>
  </si>
  <si>
    <t>Layout tables, maize meal, dough, stokke, syrup, and marshmallows by the fire. Dads and daughters cook their stokbrood while discussing the printed question cards.</t>
  </si>
  <si>
    <t>Spiritual reflection on restoration.</t>
  </si>
  <si>
    <t>Demo the shaking sand in a tray. Discuss how the solution is Fathers turning towards children and vice versa. Followed by communion elements.</t>
  </si>
  <si>
    <t>Teamwork and responsibility.</t>
  </si>
  <si>
    <t>Sons/Daughters oversee the packing of their family tent and gear before participating in the final activity.</t>
  </si>
</sst>
</file>

<file path=xl/styles.xml><?xml version="1.0" encoding="utf-8"?>
<styleSheet xmlns="http://schemas.openxmlformats.org/spreadsheetml/2006/main">
  <numFmts count="2">
    <numFmt numFmtId="164" formatCode="yyyy-mm-dd hh:mm AM/PM"/>
    <numFmt numFmtId="165" formatCode="ddd, mmm d - hh:mm AM/PM"/>
  </numFmts>
  <fonts count="7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34495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E44AD"/>
      <name val="Calibri"/>
      <family val="2"/>
      <scheme val="minor"/>
    </font>
    <font>
      <sz val="11"/>
      <color rgb="FF5D6D7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tabSelected="1" workbookViewId="0"/>
  </sheetViews>
  <sheetFormatPr defaultRowHeight="15"/>
  <cols>
    <col min="1" max="1" width="22.7109375" customWidth="1"/>
    <col min="2" max="2" width="70.7109375" customWidth="1"/>
    <col min="3" max="3" width="20.7109375" customWidth="1"/>
    <col min="4" max="4" width="18.7109375" customWidth="1"/>
    <col min="5" max="5" width="25.7109375" customWidth="1"/>
  </cols>
  <sheetData>
    <row r="1" spans="1:5">
      <c r="A1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6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ht="60" customHeight="1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ht="60" customHeight="1">
      <c r="A7" s="3" t="s">
        <v>16</v>
      </c>
      <c r="B7" s="3" t="s">
        <v>17</v>
      </c>
      <c r="C7" s="3" t="s">
        <v>18</v>
      </c>
      <c r="D7" s="3"/>
      <c r="E7" s="3"/>
    </row>
    <row r="8" spans="1:5" ht="60" customHeight="1">
      <c r="A8" s="4" t="s">
        <v>19</v>
      </c>
      <c r="B8" s="4" t="s">
        <v>20</v>
      </c>
      <c r="C8" s="4" t="s">
        <v>21</v>
      </c>
      <c r="D8" s="4"/>
      <c r="E8" s="4"/>
    </row>
    <row r="9" spans="1:5" ht="60" customHeight="1">
      <c r="A9" s="3" t="s">
        <v>22</v>
      </c>
      <c r="B9" s="3" t="s">
        <v>23</v>
      </c>
      <c r="C9" s="3" t="s">
        <v>24</v>
      </c>
      <c r="D9" s="3" t="s">
        <v>25</v>
      </c>
      <c r="E9" s="3"/>
    </row>
    <row r="10" spans="1:5" ht="60" customHeight="1">
      <c r="A10" s="4" t="s">
        <v>26</v>
      </c>
      <c r="B10" s="4" t="s">
        <v>27</v>
      </c>
      <c r="C10" s="4" t="s">
        <v>28</v>
      </c>
      <c r="D10" s="4" t="s">
        <v>29</v>
      </c>
      <c r="E10" s="4"/>
    </row>
    <row r="11" spans="1:5" ht="60" customHeight="1">
      <c r="A11" s="3" t="s">
        <v>30</v>
      </c>
      <c r="B11" s="3" t="s">
        <v>31</v>
      </c>
      <c r="C11" s="3" t="s">
        <v>32</v>
      </c>
      <c r="D11" s="3" t="s">
        <v>33</v>
      </c>
      <c r="E11" s="3"/>
    </row>
    <row r="12" spans="1:5" ht="60" customHeight="1">
      <c r="A12" s="4" t="s">
        <v>34</v>
      </c>
      <c r="B12" s="4" t="s">
        <v>35</v>
      </c>
      <c r="C12" s="4" t="s">
        <v>36</v>
      </c>
      <c r="D12" s="4"/>
      <c r="E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showGridLines="0" workbookViewId="0"/>
  </sheetViews>
  <sheetFormatPr defaultRowHeight="15"/>
  <cols>
    <col min="1" max="2" width="12.7109375" customWidth="1"/>
    <col min="3" max="4" width="18.7109375" customWidth="1"/>
    <col min="5" max="5" width="12.7109375" customWidth="1"/>
    <col min="6" max="7" width="28.7109375" customWidth="1"/>
    <col min="8" max="8" width="20.7109375" customWidth="1"/>
    <col min="9" max="9" width="45.7109375" customWidth="1"/>
    <col min="10" max="10" width="35.7109375" customWidth="1"/>
    <col min="11" max="13" width="20.7109375" customWidth="1"/>
  </cols>
  <sheetData>
    <row r="1" spans="1:13">
      <c r="A1" s="1" t="s">
        <v>37</v>
      </c>
    </row>
    <row r="2" spans="1:13">
      <c r="A2" s="5" t="s">
        <v>38</v>
      </c>
    </row>
    <row r="4" spans="1:13">
      <c r="C4" s="6" t="s">
        <v>39</v>
      </c>
      <c r="E4" s="7">
        <v>46053.625</v>
      </c>
    </row>
    <row r="7" spans="1:1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  <c r="M7" s="2" t="s">
        <v>52</v>
      </c>
    </row>
    <row r="8" spans="1:13" ht="30" customHeight="1">
      <c r="A8" s="3" t="s">
        <v>53</v>
      </c>
      <c r="B8" s="3" t="s">
        <v>54</v>
      </c>
      <c r="C8" s="3">
        <v>-14</v>
      </c>
      <c r="D8" s="8"/>
      <c r="E8" s="3">
        <v>60</v>
      </c>
      <c r="F8" s="9">
        <f>IF(D8&lt;&gt;"", D8, IF(ISNUMBER(C8), $E$4 + C8, $E$4))</f>
        <v>0</v>
      </c>
      <c r="G8" s="9">
        <f>F8 + (E8/1440)</f>
        <v>0</v>
      </c>
      <c r="H8" s="3" t="s">
        <v>55</v>
      </c>
      <c r="I8" s="3" t="s">
        <v>56</v>
      </c>
      <c r="J8" s="10" cm="1">
        <f t="array" ref="J8">IFERROR(JOIN(", ", _xlfn._xlws.FILTER('4. Equipment &amp; Shopping'!B:B, '4. Equipment &amp; Shopping'!D:D=H8)), "None")</f>
        <v>0</v>
      </c>
      <c r="K8" s="10" t="s">
        <v>19</v>
      </c>
      <c r="L8" s="3"/>
      <c r="M8" s="3">
        <f>IF(L8="", IFERROR(VLOOKUP(K8, '1. Roster &amp; Roles'!A:C, 3, FALSE), "Unassigned"), L8)</f>
        <v>0</v>
      </c>
    </row>
    <row r="9" spans="1:13" ht="30" customHeight="1">
      <c r="A9" s="4" t="s">
        <v>53</v>
      </c>
      <c r="B9" s="4" t="s">
        <v>54</v>
      </c>
      <c r="C9" s="4">
        <v>-7</v>
      </c>
      <c r="D9" s="8"/>
      <c r="E9" s="4">
        <v>60</v>
      </c>
      <c r="F9" s="11">
        <f>IF(D9&lt;&gt;"", D9, IF(ISNUMBER(C9), $E$4 + C9, G8))</f>
        <v>0</v>
      </c>
      <c r="G9" s="11">
        <f>F9 + (E9/1440)</f>
        <v>0</v>
      </c>
      <c r="H9" s="4" t="s">
        <v>57</v>
      </c>
      <c r="I9" s="4" t="s">
        <v>58</v>
      </c>
      <c r="J9" s="10" cm="1">
        <f t="array" ref="J9">IFERROR(JOIN(", ", _xlfn._xlws.FILTER('4. Equipment &amp; Shopping'!B:B, '4. Equipment &amp; Shopping'!D:D=H9)), "None")</f>
        <v>0</v>
      </c>
      <c r="K9" s="10" t="s">
        <v>6</v>
      </c>
      <c r="L9" s="4"/>
      <c r="M9" s="4">
        <f>IF(L9="", IFERROR(VLOOKUP(K9, '1. Roster &amp; Roles'!A:C, 3, FALSE), "Unassigned"), L9)</f>
        <v>0</v>
      </c>
    </row>
    <row r="10" spans="1:13" ht="30" customHeight="1">
      <c r="A10" s="3" t="s">
        <v>53</v>
      </c>
      <c r="B10" s="3" t="s">
        <v>59</v>
      </c>
      <c r="C10" s="3">
        <v>-5</v>
      </c>
      <c r="D10" s="8"/>
      <c r="E10" s="3">
        <v>120</v>
      </c>
      <c r="F10" s="9">
        <f>IF(D10&lt;&gt;"", D10, IF(ISNUMBER(C10), $E$4 + C10, G9))</f>
        <v>0</v>
      </c>
      <c r="G10" s="9">
        <f>F10 + (E10/1440)</f>
        <v>0</v>
      </c>
      <c r="H10" s="3" t="s">
        <v>60</v>
      </c>
      <c r="I10" s="3" t="s">
        <v>61</v>
      </c>
      <c r="J10" s="10" cm="1">
        <f t="array" ref="J10">IFERROR(JOIN(", ", _xlfn._xlws.FILTER('4. Equipment &amp; Shopping'!B:B, '4. Equipment &amp; Shopping'!D:D=H10)), "None")</f>
        <v>0</v>
      </c>
      <c r="K10" s="10" t="s">
        <v>26</v>
      </c>
      <c r="L10" s="3"/>
      <c r="M10" s="3">
        <f>IF(L10="", IFERROR(VLOOKUP(K10, '1. Roster &amp; Roles'!A:C, 3, FALSE), "Unassigned"), L10)</f>
        <v>0</v>
      </c>
    </row>
    <row r="11" spans="1:13" ht="30" customHeight="1">
      <c r="A11" s="4" t="s">
        <v>53</v>
      </c>
      <c r="B11" s="4" t="s">
        <v>59</v>
      </c>
      <c r="C11" s="4">
        <v>-3</v>
      </c>
      <c r="D11" s="8"/>
      <c r="E11" s="4">
        <v>60</v>
      </c>
      <c r="F11" s="11">
        <f>IF(D11&lt;&gt;"", D11, IF(ISNUMBER(C11), $E$4 + C11, G10))</f>
        <v>0</v>
      </c>
      <c r="G11" s="11">
        <f>F11 + (E11/1440)</f>
        <v>0</v>
      </c>
      <c r="H11" s="4" t="s">
        <v>62</v>
      </c>
      <c r="I11" s="4" t="s">
        <v>63</v>
      </c>
      <c r="J11" s="10" cm="1">
        <f t="array" ref="J11">IFERROR(JOIN(", ", _xlfn._xlws.FILTER('4. Equipment &amp; Shopping'!B:B, '4. Equipment &amp; Shopping'!D:D=H11)), "None")</f>
        <v>0</v>
      </c>
      <c r="K11" s="10" t="s">
        <v>19</v>
      </c>
      <c r="L11" s="4"/>
      <c r="M11" s="4">
        <f>IF(L11="", IFERROR(VLOOKUP(K11, '1. Roster &amp; Roles'!A:C, 3, FALSE), "Unassigned"), L11)</f>
        <v>0</v>
      </c>
    </row>
    <row r="12" spans="1:13" ht="30" customHeight="1">
      <c r="A12" s="3" t="s">
        <v>53</v>
      </c>
      <c r="B12" s="3" t="s">
        <v>64</v>
      </c>
      <c r="C12" s="3">
        <v>-2</v>
      </c>
      <c r="D12" s="8"/>
      <c r="E12" s="3">
        <v>60</v>
      </c>
      <c r="F12" s="9">
        <f>IF(D12&lt;&gt;"", D12, IF(ISNUMBER(C12), $E$4 + C12, G11))</f>
        <v>0</v>
      </c>
      <c r="G12" s="9">
        <f>F12 + (E12/1440)</f>
        <v>0</v>
      </c>
      <c r="H12" s="3" t="s">
        <v>65</v>
      </c>
      <c r="I12" s="3" t="s">
        <v>66</v>
      </c>
      <c r="J12" s="10" cm="1">
        <f t="array" ref="J12">IFERROR(JOIN(", ", _xlfn._xlws.FILTER('4. Equipment &amp; Shopping'!B:B, '4. Equipment &amp; Shopping'!D:D=H12)), "None")</f>
        <v>0</v>
      </c>
      <c r="K12" s="10" t="s">
        <v>11</v>
      </c>
      <c r="L12" s="3"/>
      <c r="M12" s="3">
        <f>IF(L12="", IFERROR(VLOOKUP(K12, '1. Roster &amp; Roles'!A:C, 3, FALSE), "Unassigned"), L12)</f>
        <v>0</v>
      </c>
    </row>
    <row r="13" spans="1:13" ht="30" customHeight="1">
      <c r="A13" s="4" t="s">
        <v>53</v>
      </c>
      <c r="B13" s="4" t="s">
        <v>67</v>
      </c>
      <c r="C13" s="4">
        <v>-1</v>
      </c>
      <c r="D13" s="8"/>
      <c r="E13" s="4">
        <v>180</v>
      </c>
      <c r="F13" s="11">
        <f>IF(D13&lt;&gt;"", D13, IF(ISNUMBER(C13), $E$4 + C13, G12))</f>
        <v>0</v>
      </c>
      <c r="G13" s="11">
        <f>F13 + (E13/1440)</f>
        <v>0</v>
      </c>
      <c r="H13" s="4" t="s">
        <v>68</v>
      </c>
      <c r="I13" s="4" t="s">
        <v>69</v>
      </c>
      <c r="J13" s="10" cm="1">
        <f t="array" ref="J13">IFERROR(JOIN(", ", _xlfn._xlws.FILTER('4. Equipment &amp; Shopping'!B:B, '4. Equipment &amp; Shopping'!D:D=H13)), "None")</f>
        <v>0</v>
      </c>
      <c r="K13" s="10" t="s">
        <v>11</v>
      </c>
      <c r="L13" s="4"/>
      <c r="M13" s="4">
        <f>IF(L13="", IFERROR(VLOOKUP(K13, '1. Roster &amp; Roles'!A:C, 3, FALSE), "Unassigned"), L13)</f>
        <v>0</v>
      </c>
    </row>
    <row r="14" spans="1:13" ht="30" customHeight="1">
      <c r="A14" s="3" t="s">
        <v>53</v>
      </c>
      <c r="B14" s="3" t="s">
        <v>70</v>
      </c>
      <c r="C14" s="3">
        <v>-1</v>
      </c>
      <c r="D14" s="8"/>
      <c r="E14" s="3">
        <v>60</v>
      </c>
      <c r="F14" s="9">
        <f>IF(D14&lt;&gt;"", D14, IF(ISNUMBER(C14), $E$4 + C14, G13))</f>
        <v>0</v>
      </c>
      <c r="G14" s="9">
        <f>F14 + (E14/1440)</f>
        <v>0</v>
      </c>
      <c r="H14" s="3" t="s">
        <v>71</v>
      </c>
      <c r="I14" s="3" t="s">
        <v>72</v>
      </c>
      <c r="J14" s="10" cm="1">
        <f t="array" ref="J14">IFERROR(JOIN(", ", _xlfn._xlws.FILTER('4. Equipment &amp; Shopping'!B:B, '4. Equipment &amp; Shopping'!D:D=H14)), "None")</f>
        <v>0</v>
      </c>
      <c r="K14" s="10" t="s">
        <v>26</v>
      </c>
      <c r="L14" s="3"/>
      <c r="M14" s="3">
        <f>IF(L14="", IFERROR(VLOOKUP(K14, '1. Roster &amp; Roles'!A:C, 3, FALSE), "Unassigned"), L14)</f>
        <v>0</v>
      </c>
    </row>
    <row r="15" spans="1:13" ht="30" customHeight="1">
      <c r="A15" s="4" t="s">
        <v>73</v>
      </c>
      <c r="B15" s="4" t="s">
        <v>74</v>
      </c>
      <c r="C15" s="4">
        <v>-0.125</v>
      </c>
      <c r="D15" s="8"/>
      <c r="E15" s="4">
        <v>90</v>
      </c>
      <c r="F15" s="11">
        <f>IF(D15&lt;&gt;"", D15, IF(ISNUMBER(C15), $E$4 + C15, G14))</f>
        <v>0</v>
      </c>
      <c r="G15" s="11">
        <f>F15 + (E15/1440)</f>
        <v>0</v>
      </c>
      <c r="H15" s="4" t="s">
        <v>74</v>
      </c>
      <c r="I15" s="4" t="s">
        <v>75</v>
      </c>
      <c r="J15" s="10" cm="1">
        <f t="array" ref="J15">IFERROR(JOIN(", ", _xlfn._xlws.FILTER('4. Equipment &amp; Shopping'!B:B, '4. Equipment &amp; Shopping'!D:D=H15)), "None")</f>
        <v>0</v>
      </c>
      <c r="K15" s="10" t="s">
        <v>6</v>
      </c>
      <c r="L15" s="4"/>
      <c r="M15" s="4">
        <f>IF(L15="", IFERROR(VLOOKUP(K15, '1. Roster &amp; Roles'!A:C, 3, FALSE), "Unassigned"), L15)</f>
        <v>0</v>
      </c>
    </row>
    <row r="16" spans="1:13" ht="30" customHeight="1">
      <c r="A16" s="3" t="s">
        <v>73</v>
      </c>
      <c r="B16" s="3" t="s">
        <v>76</v>
      </c>
      <c r="C16" s="3">
        <v>0</v>
      </c>
      <c r="D16" s="8"/>
      <c r="E16" s="3">
        <v>30</v>
      </c>
      <c r="F16" s="9">
        <f>IF(D16&lt;&gt;"", D16, IF(ISNUMBER(C16), $E$4 + C16, G15))</f>
        <v>0</v>
      </c>
      <c r="G16" s="9">
        <f>F16 + (E16/1440)</f>
        <v>0</v>
      </c>
      <c r="H16" s="3" t="s">
        <v>76</v>
      </c>
      <c r="I16" s="3" t="s">
        <v>77</v>
      </c>
      <c r="J16" s="10" cm="1">
        <f t="array" ref="J16">IFERROR(JOIN(", ", _xlfn._xlws.FILTER('4. Equipment &amp; Shopping'!B:B, '4. Equipment &amp; Shopping'!D:D=H16)), "None")</f>
        <v>0</v>
      </c>
      <c r="K16" s="10" t="s">
        <v>19</v>
      </c>
      <c r="L16" s="3"/>
      <c r="M16" s="3">
        <f>IF(L16="", IFERROR(VLOOKUP(K16, '1. Roster &amp; Roles'!A:C, 3, FALSE), "Unassigned"), L16)</f>
        <v>0</v>
      </c>
    </row>
    <row r="17" spans="1:13" ht="30" customHeight="1">
      <c r="A17" s="4" t="s">
        <v>73</v>
      </c>
      <c r="B17" s="4" t="s">
        <v>78</v>
      </c>
      <c r="C17" s="4"/>
      <c r="D17" s="8"/>
      <c r="E17" s="4">
        <v>30</v>
      </c>
      <c r="F17" s="11">
        <f>IF(D17&lt;&gt;"", D17, IF(ISNUMBER(C17), $E$4 + C17, G16))</f>
        <v>0</v>
      </c>
      <c r="G17" s="11">
        <f>F17 + (E17/1440)</f>
        <v>0</v>
      </c>
      <c r="H17" s="4" t="s">
        <v>78</v>
      </c>
      <c r="I17" s="4" t="s">
        <v>79</v>
      </c>
      <c r="J17" s="10" cm="1">
        <f t="array" ref="J17">IFERROR(JOIN(", ", _xlfn._xlws.FILTER('4. Equipment &amp; Shopping'!B:B, '4. Equipment &amp; Shopping'!D:D=H17)), "None")</f>
        <v>0</v>
      </c>
      <c r="K17" s="10" t="s">
        <v>22</v>
      </c>
      <c r="L17" s="4"/>
      <c r="M17" s="4">
        <f>IF(L17="", IFERROR(VLOOKUP(K17, '1. Roster &amp; Roles'!A:C, 3, FALSE), "Unassigned"), L17)</f>
        <v>0</v>
      </c>
    </row>
    <row r="18" spans="1:13" ht="30" customHeight="1">
      <c r="A18" s="3" t="s">
        <v>73</v>
      </c>
      <c r="B18" s="3" t="s">
        <v>80</v>
      </c>
      <c r="C18" s="3"/>
      <c r="D18" s="8"/>
      <c r="E18" s="3">
        <v>90</v>
      </c>
      <c r="F18" s="9">
        <f>IF(D18&lt;&gt;"", D18, IF(ISNUMBER(C18), $E$4 + C18, G17))</f>
        <v>0</v>
      </c>
      <c r="G18" s="9">
        <f>F18 + (E18/1440)</f>
        <v>0</v>
      </c>
      <c r="H18" s="3" t="s">
        <v>81</v>
      </c>
      <c r="I18" s="3" t="s">
        <v>82</v>
      </c>
      <c r="J18" s="10" cm="1">
        <f t="array" ref="J18">IFERROR(JOIN(", ", _xlfn._xlws.FILTER('4. Equipment &amp; Shopping'!B:B, '4. Equipment &amp; Shopping'!D:D=H18)), "None")</f>
        <v>0</v>
      </c>
      <c r="K18" s="10" t="s">
        <v>22</v>
      </c>
      <c r="L18" s="3"/>
      <c r="M18" s="3">
        <f>IF(L18="", IFERROR(VLOOKUP(K18, '1. Roster &amp; Roles'!A:C, 3, FALSE), "Unassigned"), L18)</f>
        <v>0</v>
      </c>
    </row>
    <row r="19" spans="1:13" ht="30" customHeight="1">
      <c r="A19" s="4" t="s">
        <v>73</v>
      </c>
      <c r="B19" s="4" t="s">
        <v>83</v>
      </c>
      <c r="C19" s="4"/>
      <c r="D19" s="8"/>
      <c r="E19" s="4">
        <v>90</v>
      </c>
      <c r="F19" s="11">
        <f>IF(D19&lt;&gt;"", D19, IF(ISNUMBER(C19), $E$4 + C19, G18))</f>
        <v>0</v>
      </c>
      <c r="G19" s="11">
        <f>F19 + (E19/1440)</f>
        <v>0</v>
      </c>
      <c r="H19" s="4" t="s">
        <v>84</v>
      </c>
      <c r="I19" s="4" t="s">
        <v>85</v>
      </c>
      <c r="J19" s="10" cm="1">
        <f t="array" ref="J19">IFERROR(JOIN(", ", _xlfn._xlws.FILTER('4. Equipment &amp; Shopping'!B:B, '4. Equipment &amp; Shopping'!D:D=H19)), "None")</f>
        <v>0</v>
      </c>
      <c r="K19" s="10" t="s">
        <v>11</v>
      </c>
      <c r="L19" s="4"/>
      <c r="M19" s="4">
        <f>IF(L19="", IFERROR(VLOOKUP(K19, '1. Roster &amp; Roles'!A:C, 3, FALSE), "Unassigned"), L19)</f>
        <v>0</v>
      </c>
    </row>
    <row r="20" spans="1:13" ht="30" customHeight="1">
      <c r="A20" s="3" t="s">
        <v>73</v>
      </c>
      <c r="B20" s="3" t="s">
        <v>86</v>
      </c>
      <c r="C20" s="3"/>
      <c r="D20" s="8"/>
      <c r="E20" s="3">
        <v>60</v>
      </c>
      <c r="F20" s="9">
        <f>IF(D20&lt;&gt;"", D20, IF(ISNUMBER(C20), $E$4 + C20, G19))</f>
        <v>0</v>
      </c>
      <c r="G20" s="9">
        <f>F20 + (E20/1440)</f>
        <v>0</v>
      </c>
      <c r="H20" s="3" t="s">
        <v>86</v>
      </c>
      <c r="I20" s="3" t="s">
        <v>87</v>
      </c>
      <c r="J20" s="10" cm="1">
        <f t="array" ref="J20">IFERROR(JOIN(", ", _xlfn._xlws.FILTER('4. Equipment &amp; Shopping'!B:B, '4. Equipment &amp; Shopping'!D:D=H20)), "None")</f>
        <v>0</v>
      </c>
      <c r="K20" s="10" t="s">
        <v>26</v>
      </c>
      <c r="L20" s="3"/>
      <c r="M20" s="3">
        <f>IF(L20="", IFERROR(VLOOKUP(K20, '1. Roster &amp; Roles'!A:C, 3, FALSE), "Unassigned"), L20)</f>
        <v>0</v>
      </c>
    </row>
    <row r="21" spans="1:13" ht="30" customHeight="1">
      <c r="A21" s="4" t="s">
        <v>73</v>
      </c>
      <c r="B21" s="4" t="s">
        <v>88</v>
      </c>
      <c r="C21" s="4"/>
      <c r="D21" s="8"/>
      <c r="E21" s="4">
        <v>30</v>
      </c>
      <c r="F21" s="11">
        <f>IF(D21&lt;&gt;"", D21, IF(ISNUMBER(C21), $E$4 + C21, G20))</f>
        <v>0</v>
      </c>
      <c r="G21" s="11">
        <f>F21 + (E21/1440)</f>
        <v>0</v>
      </c>
      <c r="H21" s="4" t="s">
        <v>88</v>
      </c>
      <c r="I21" s="4" t="s">
        <v>89</v>
      </c>
      <c r="J21" s="10" cm="1">
        <f t="array" ref="J21">IFERROR(JOIN(", ", _xlfn._xlws.FILTER('4. Equipment &amp; Shopping'!B:B, '4. Equipment &amp; Shopping'!D:D=H21)), "None")</f>
        <v>0</v>
      </c>
      <c r="K21" s="10" t="s">
        <v>6</v>
      </c>
      <c r="L21" s="4"/>
      <c r="M21" s="4">
        <f>IF(L21="", IFERROR(VLOOKUP(K21, '1. Roster &amp; Roles'!A:C, 3, FALSE), "Unassigned"), L21)</f>
        <v>0</v>
      </c>
    </row>
    <row r="22" spans="1:13" ht="30" customHeight="1">
      <c r="A22" s="3" t="s">
        <v>73</v>
      </c>
      <c r="B22" s="3" t="s">
        <v>90</v>
      </c>
      <c r="C22" s="3"/>
      <c r="D22" s="8"/>
      <c r="E22" s="3">
        <v>60</v>
      </c>
      <c r="F22" s="9">
        <f>IF(D22&lt;&gt;"", D22, IF(ISNUMBER(C22), $E$4 + C22, G21))</f>
        <v>0</v>
      </c>
      <c r="G22" s="9">
        <f>F22 + (E22/1440)</f>
        <v>0</v>
      </c>
      <c r="H22" s="3" t="s">
        <v>91</v>
      </c>
      <c r="I22" s="3" t="s">
        <v>92</v>
      </c>
      <c r="J22" s="10" cm="1">
        <f t="array" ref="J22">IFERROR(JOIN(", ", _xlfn._xlws.FILTER('4. Equipment &amp; Shopping'!B:B, '4. Equipment &amp; Shopping'!D:D=H22)), "None")</f>
        <v>0</v>
      </c>
      <c r="K22" s="10" t="s">
        <v>16</v>
      </c>
      <c r="L22" s="3"/>
      <c r="M22" s="3">
        <f>IF(L22="", IFERROR(VLOOKUP(K22, '1. Roster &amp; Roles'!A:C, 3, FALSE), "Unassigned"), L22)</f>
        <v>0</v>
      </c>
    </row>
    <row r="23" spans="1:13" ht="30" customHeight="1">
      <c r="A23" s="4" t="s">
        <v>73</v>
      </c>
      <c r="B23" s="4" t="s">
        <v>93</v>
      </c>
      <c r="C23" s="4"/>
      <c r="D23" s="8"/>
      <c r="E23" s="4">
        <v>60</v>
      </c>
      <c r="F23" s="11">
        <f>IF(D23&lt;&gt;"", D23, IF(ISNUMBER(C23), $E$4 + C23, G22))</f>
        <v>0</v>
      </c>
      <c r="G23" s="11">
        <f>F23 + (E23/1440)</f>
        <v>0</v>
      </c>
      <c r="H23" s="4" t="s">
        <v>94</v>
      </c>
      <c r="I23" s="4" t="s">
        <v>95</v>
      </c>
      <c r="J23" s="10" cm="1">
        <f t="array" ref="J23">IFERROR(JOIN(", ", _xlfn._xlws.FILTER('4. Equipment &amp; Shopping'!B:B, '4. Equipment &amp; Shopping'!D:D=H23)), "None")</f>
        <v>0</v>
      </c>
      <c r="K23" s="10" t="s">
        <v>6</v>
      </c>
      <c r="L23" s="4"/>
      <c r="M23" s="4">
        <f>IF(L23="", IFERROR(VLOOKUP(K23, '1. Roster &amp; Roles'!A:C, 3, FALSE), "Unassigned"), L23)</f>
        <v>0</v>
      </c>
    </row>
    <row r="24" spans="1:13" ht="30" customHeight="1">
      <c r="A24" s="3" t="s">
        <v>73</v>
      </c>
      <c r="B24" s="3" t="s">
        <v>96</v>
      </c>
      <c r="C24" s="3"/>
      <c r="D24" s="8"/>
      <c r="E24" s="3">
        <v>0</v>
      </c>
      <c r="F24" s="9">
        <f>IF(D24&lt;&gt;"", D24, IF(ISNUMBER(C24), $E$4 + C24, G23))</f>
        <v>0</v>
      </c>
      <c r="G24" s="9">
        <f>F24 + (E24/1440)</f>
        <v>0</v>
      </c>
      <c r="H24" s="3" t="s">
        <v>97</v>
      </c>
      <c r="I24" s="3" t="s">
        <v>98</v>
      </c>
      <c r="J24" s="10" cm="1">
        <f t="array" ref="J24">IFERROR(JOIN(", ", _xlfn._xlws.FILTER('4. Equipment &amp; Shopping'!B:B, '4. Equipment &amp; Shopping'!D:D=H24)), "None")</f>
        <v>0</v>
      </c>
      <c r="K24" s="10" t="s">
        <v>6</v>
      </c>
      <c r="L24" s="3"/>
      <c r="M24" s="3">
        <f>IF(L24="", IFERROR(VLOOKUP(K24, '1. Roster &amp; Roles'!A:C, 3, FALSE), "Unassigned"), L24)</f>
        <v>0</v>
      </c>
    </row>
    <row r="25" spans="1:13" ht="30" customHeight="1">
      <c r="A25" s="4" t="s">
        <v>99</v>
      </c>
      <c r="B25" s="4" t="s">
        <v>100</v>
      </c>
      <c r="C25" s="4"/>
      <c r="D25" s="8"/>
      <c r="E25" s="4">
        <v>45</v>
      </c>
      <c r="F25" s="11">
        <f>IF(D25&lt;&gt;"", D25, IF(ISNUMBER(C25), $E$4 + C25, G24))</f>
        <v>0</v>
      </c>
      <c r="G25" s="11">
        <f>F25 + (E25/1440)</f>
        <v>0</v>
      </c>
      <c r="H25" s="4" t="s">
        <v>101</v>
      </c>
      <c r="I25" s="4" t="s">
        <v>102</v>
      </c>
      <c r="J25" s="10" cm="1">
        <f t="array" ref="J25">IFERROR(JOIN(", ", _xlfn._xlws.FILTER('4. Equipment &amp; Shopping'!B:B, '4. Equipment &amp; Shopping'!D:D=H25)), "None")</f>
        <v>0</v>
      </c>
      <c r="K25" s="10" t="s">
        <v>11</v>
      </c>
      <c r="L25" s="4"/>
      <c r="M25" s="4">
        <f>IF(L25="", IFERROR(VLOOKUP(K25, '1. Roster &amp; Roles'!A:C, 3, FALSE), "Unassigned"), L25)</f>
        <v>0</v>
      </c>
    </row>
    <row r="26" spans="1:13" ht="30" customHeight="1">
      <c r="A26" s="3" t="s">
        <v>99</v>
      </c>
      <c r="B26" s="3" t="s">
        <v>103</v>
      </c>
      <c r="C26" s="3"/>
      <c r="D26" s="8"/>
      <c r="E26" s="3">
        <v>90</v>
      </c>
      <c r="F26" s="9">
        <f>IF(D26&lt;&gt;"", D26, IF(ISNUMBER(C26), $E$4 + C26, G25))</f>
        <v>0</v>
      </c>
      <c r="G26" s="9">
        <f>F26 + (E26/1440)</f>
        <v>0</v>
      </c>
      <c r="H26" s="3" t="s">
        <v>104</v>
      </c>
      <c r="I26" s="3" t="s">
        <v>105</v>
      </c>
      <c r="J26" s="10" cm="1">
        <f t="array" ref="J26">IFERROR(JOIN(", ", _xlfn._xlws.FILTER('4. Equipment &amp; Shopping'!B:B, '4. Equipment &amp; Shopping'!D:D=H26)), "None")</f>
        <v>0</v>
      </c>
      <c r="K26" s="10" t="s">
        <v>16</v>
      </c>
      <c r="L26" s="3"/>
      <c r="M26" s="3">
        <f>IF(L26="", IFERROR(VLOOKUP(K26, '1. Roster &amp; Roles'!A:C, 3, FALSE), "Unassigned"), L26)</f>
        <v>0</v>
      </c>
    </row>
    <row r="27" spans="1:13" ht="30" customHeight="1">
      <c r="A27" s="4" t="s">
        <v>99</v>
      </c>
      <c r="B27" s="4" t="s">
        <v>106</v>
      </c>
      <c r="C27" s="4"/>
      <c r="D27" s="8"/>
      <c r="E27" s="4">
        <v>15</v>
      </c>
      <c r="F27" s="11">
        <f>IF(D27&lt;&gt;"", D27, IF(ISNUMBER(C27), $E$4 + C27, G26))</f>
        <v>0</v>
      </c>
      <c r="G27" s="11">
        <f>F27 + (E27/1440)</f>
        <v>0</v>
      </c>
      <c r="H27" s="4" t="s">
        <v>107</v>
      </c>
      <c r="I27" s="4" t="s">
        <v>108</v>
      </c>
      <c r="J27" s="10" cm="1">
        <f t="array" ref="J27">IFERROR(JOIN(", ", _xlfn._xlws.FILTER('4. Equipment &amp; Shopping'!B:B, '4. Equipment &amp; Shopping'!D:D=H27)), "None")</f>
        <v>0</v>
      </c>
      <c r="K27" s="10" t="s">
        <v>6</v>
      </c>
      <c r="L27" s="4"/>
      <c r="M27" s="4">
        <f>IF(L27="", IFERROR(VLOOKUP(K27, '1. Roster &amp; Roles'!A:C, 3, FALSE), "Unassigned"), L27)</f>
        <v>0</v>
      </c>
    </row>
    <row r="28" spans="1:13" ht="30" customHeight="1">
      <c r="A28" s="3" t="s">
        <v>99</v>
      </c>
      <c r="B28" s="3" t="s">
        <v>109</v>
      </c>
      <c r="C28" s="3"/>
      <c r="D28" s="8"/>
      <c r="E28" s="3">
        <v>60</v>
      </c>
      <c r="F28" s="9">
        <f>IF(D28&lt;&gt;"", D28, IF(ISNUMBER(C28), $E$4 + C28, G27))</f>
        <v>0</v>
      </c>
      <c r="G28" s="9">
        <f>F28 + (E28/1440)</f>
        <v>0</v>
      </c>
      <c r="H28" s="3" t="s">
        <v>109</v>
      </c>
      <c r="I28" s="3" t="s">
        <v>109</v>
      </c>
      <c r="J28" s="10" cm="1">
        <f t="array" ref="J28">IFERROR(JOIN(", ", _xlfn._xlws.FILTER('4. Equipment &amp; Shopping'!B:B, '4. Equipment &amp; Shopping'!D:D=H28)), "None")</f>
        <v>0</v>
      </c>
      <c r="K28" s="10" t="s">
        <v>26</v>
      </c>
      <c r="L28" s="3"/>
      <c r="M28" s="3">
        <f>IF(L28="", IFERROR(VLOOKUP(K28, '1. Roster &amp; Roles'!A:C, 3, FALSE), "Unassigned"), L28)</f>
        <v>0</v>
      </c>
    </row>
    <row r="29" spans="1:13" ht="30" customHeight="1">
      <c r="A29" s="4" t="s">
        <v>99</v>
      </c>
      <c r="B29" s="4" t="s">
        <v>110</v>
      </c>
      <c r="C29" s="4"/>
      <c r="D29" s="8"/>
      <c r="E29" s="4">
        <v>60</v>
      </c>
      <c r="F29" s="11">
        <f>IF(D29&lt;&gt;"", D29, IF(ISNUMBER(C29), $E$4 + C29, G28))</f>
        <v>0</v>
      </c>
      <c r="G29" s="11">
        <f>F29 + (E29/1440)</f>
        <v>0</v>
      </c>
      <c r="H29" s="4" t="s">
        <v>111</v>
      </c>
      <c r="I29" s="4" t="s">
        <v>112</v>
      </c>
      <c r="J29" s="10" cm="1">
        <f t="array" ref="J29">IFERROR(JOIN(", ", _xlfn._xlws.FILTER('4. Equipment &amp; Shopping'!B:B, '4. Equipment &amp; Shopping'!D:D=H29)), "None")</f>
        <v>0</v>
      </c>
      <c r="K29" s="10" t="s">
        <v>16</v>
      </c>
      <c r="L29" s="4"/>
      <c r="M29" s="4">
        <f>IF(L29="", IFERROR(VLOOKUP(K29, '1. Roster &amp; Roles'!A:C, 3, FALSE), "Unassigned"), L29)</f>
        <v>0</v>
      </c>
    </row>
    <row r="30" spans="1:13" ht="30" customHeight="1">
      <c r="A30" s="3" t="s">
        <v>99</v>
      </c>
      <c r="B30" s="3" t="s">
        <v>113</v>
      </c>
      <c r="C30" s="3"/>
      <c r="D30" s="8"/>
      <c r="E30" s="3">
        <v>15</v>
      </c>
      <c r="F30" s="9">
        <f>IF(D30&lt;&gt;"", D30, IF(ISNUMBER(C30), $E$4 + C30, G29))</f>
        <v>0</v>
      </c>
      <c r="G30" s="9">
        <f>F30 + (E30/1440)</f>
        <v>0</v>
      </c>
      <c r="H30" s="3" t="s">
        <v>114</v>
      </c>
      <c r="I30" s="3" t="s">
        <v>115</v>
      </c>
      <c r="J30" s="10" cm="1">
        <f t="array" ref="J30">IFERROR(JOIN(", ", _xlfn._xlws.FILTER('4. Equipment &amp; Shopping'!B:B, '4. Equipment &amp; Shopping'!D:D=H30)), "None")</f>
        <v>0</v>
      </c>
      <c r="K30" s="10" t="s">
        <v>6</v>
      </c>
      <c r="L30" s="3"/>
      <c r="M30" s="3">
        <f>IF(L30="", IFERROR(VLOOKUP(K30, '1. Roster &amp; Roles'!A:C, 3, FALSE), "Unassigned"), L30)</f>
        <v>0</v>
      </c>
    </row>
    <row r="31" spans="1:13" ht="30" customHeight="1">
      <c r="A31" s="4" t="s">
        <v>99</v>
      </c>
      <c r="B31" s="4" t="s">
        <v>116</v>
      </c>
      <c r="C31" s="4"/>
      <c r="D31" s="8"/>
      <c r="E31" s="4">
        <v>60</v>
      </c>
      <c r="F31" s="11">
        <f>IF(D31&lt;&gt;"", D31, IF(ISNUMBER(C31), $E$4 + C31, G30))</f>
        <v>0</v>
      </c>
      <c r="G31" s="11">
        <f>F31 + (E31/1440)</f>
        <v>0</v>
      </c>
      <c r="H31" s="4" t="s">
        <v>116</v>
      </c>
      <c r="I31" s="4" t="s">
        <v>117</v>
      </c>
      <c r="J31" s="10" cm="1">
        <f t="array" ref="J31">IFERROR(JOIN(", ", _xlfn._xlws.FILTER('4. Equipment &amp; Shopping'!B:B, '4. Equipment &amp; Shopping'!D:D=H31)), "None")</f>
        <v>0</v>
      </c>
      <c r="K31" s="10" t="s">
        <v>11</v>
      </c>
      <c r="L31" s="4"/>
      <c r="M31" s="4">
        <f>IF(L31="", IFERROR(VLOOKUP(K31, '1. Roster &amp; Roles'!A:C, 3, FALSE), "Unassigned"), L31)</f>
        <v>0</v>
      </c>
    </row>
    <row r="32" spans="1:13" ht="30" customHeight="1">
      <c r="A32" s="3" t="s">
        <v>99</v>
      </c>
      <c r="B32" s="3" t="s">
        <v>80</v>
      </c>
      <c r="C32" s="3"/>
      <c r="D32" s="8"/>
      <c r="E32" s="3">
        <v>45</v>
      </c>
      <c r="F32" s="9">
        <f>IF(D32&lt;&gt;"", D32, IF(ISNUMBER(C32), $E$4 + C32, G31))</f>
        <v>0</v>
      </c>
      <c r="G32" s="9">
        <f>F32 + (E32/1440)</f>
        <v>0</v>
      </c>
      <c r="H32" s="3" t="s">
        <v>118</v>
      </c>
      <c r="I32" s="3" t="s">
        <v>119</v>
      </c>
      <c r="J32" s="10" cm="1">
        <f t="array" ref="J32">IFERROR(JOIN(", ", _xlfn._xlws.FILTER('4. Equipment &amp; Shopping'!B:B, '4. Equipment &amp; Shopping'!D:D=H32)), "None")</f>
        <v>0</v>
      </c>
      <c r="K32" s="10" t="s">
        <v>22</v>
      </c>
      <c r="L32" s="3"/>
      <c r="M32" s="3">
        <f>IF(L32="", IFERROR(VLOOKUP(K32, '1. Roster &amp; Roles'!A:C, 3, FALSE), "Unassigned"), L32)</f>
        <v>0</v>
      </c>
    </row>
    <row r="33" spans="1:13" ht="30" customHeight="1">
      <c r="A33" s="4" t="s">
        <v>99</v>
      </c>
      <c r="B33" s="4" t="s">
        <v>120</v>
      </c>
      <c r="C33" s="4"/>
      <c r="D33" s="8"/>
      <c r="E33" s="4">
        <v>0</v>
      </c>
      <c r="F33" s="11">
        <f>IF(D33&lt;&gt;"", D33, IF(ISNUMBER(C33), $E$4 + C33, G32))</f>
        <v>0</v>
      </c>
      <c r="G33" s="11">
        <f>F33 + (E33/1440)</f>
        <v>0</v>
      </c>
      <c r="H33" s="4" t="s">
        <v>120</v>
      </c>
      <c r="I33" s="4" t="s">
        <v>121</v>
      </c>
      <c r="J33" s="10" cm="1">
        <f t="array" ref="J33">IFERROR(JOIN(", ", _xlfn._xlws.FILTER('4. Equipment &amp; Shopping'!B:B, '4. Equipment &amp; Shopping'!D:D=H33)), "None")</f>
        <v>0</v>
      </c>
      <c r="K33" s="10" t="s">
        <v>19</v>
      </c>
      <c r="L33" s="4"/>
      <c r="M33" s="4">
        <f>IF(L33="", IFERROR(VLOOKUP(K33, '1. Roster &amp; Roles'!A:C, 3, FALSE), "Unassigned"), L33)</f>
        <v>0</v>
      </c>
    </row>
  </sheetData>
  <dataValidations count="26">
    <dataValidation type="list" allowBlank="1" showInputMessage="1" sqref="L8">
      <formula1>'1. Roster &amp; Roles'!$C$5:$C$20</formula1>
    </dataValidation>
    <dataValidation type="list" allowBlank="1" showInputMessage="1" sqref="L9">
      <formula1>'1. Roster &amp; Roles'!$C$5:$C$20</formula1>
    </dataValidation>
    <dataValidation type="list" allowBlank="1" showInputMessage="1" sqref="L10">
      <formula1>'1. Roster &amp; Roles'!$C$5:$C$20</formula1>
    </dataValidation>
    <dataValidation type="list" allowBlank="1" showInputMessage="1" sqref="L11">
      <formula1>'1. Roster &amp; Roles'!$C$5:$C$20</formula1>
    </dataValidation>
    <dataValidation type="list" allowBlank="1" showInputMessage="1" sqref="L12">
      <formula1>'1. Roster &amp; Roles'!$C$5:$C$20</formula1>
    </dataValidation>
    <dataValidation type="list" allowBlank="1" showInputMessage="1" sqref="L13">
      <formula1>'1. Roster &amp; Roles'!$C$5:$C$20</formula1>
    </dataValidation>
    <dataValidation type="list" allowBlank="1" showInputMessage="1" sqref="L14">
      <formula1>'1. Roster &amp; Roles'!$C$5:$C$20</formula1>
    </dataValidation>
    <dataValidation type="list" allowBlank="1" showInputMessage="1" sqref="L15">
      <formula1>'1. Roster &amp; Roles'!$C$5:$C$20</formula1>
    </dataValidation>
    <dataValidation type="list" allowBlank="1" showInputMessage="1" sqref="L16">
      <formula1>'1. Roster &amp; Roles'!$C$5:$C$20</formula1>
    </dataValidation>
    <dataValidation type="list" allowBlank="1" showInputMessage="1" sqref="L17">
      <formula1>'1. Roster &amp; Roles'!$C$5:$C$20</formula1>
    </dataValidation>
    <dataValidation type="list" allowBlank="1" showInputMessage="1" sqref="L18">
      <formula1>'1. Roster &amp; Roles'!$C$5:$C$20</formula1>
    </dataValidation>
    <dataValidation type="list" allowBlank="1" showInputMessage="1" sqref="L19">
      <formula1>'1. Roster &amp; Roles'!$C$5:$C$20</formula1>
    </dataValidation>
    <dataValidation type="list" allowBlank="1" showInputMessage="1" sqref="L20">
      <formula1>'1. Roster &amp; Roles'!$C$5:$C$20</formula1>
    </dataValidation>
    <dataValidation type="list" allowBlank="1" showInputMessage="1" sqref="L21">
      <formula1>'1. Roster &amp; Roles'!$C$5:$C$20</formula1>
    </dataValidation>
    <dataValidation type="list" allowBlank="1" showInputMessage="1" sqref="L22">
      <formula1>'1. Roster &amp; Roles'!$C$5:$C$20</formula1>
    </dataValidation>
    <dataValidation type="list" allowBlank="1" showInputMessage="1" sqref="L23">
      <formula1>'1. Roster &amp; Roles'!$C$5:$C$20</formula1>
    </dataValidation>
    <dataValidation type="list" allowBlank="1" showInputMessage="1" sqref="L24">
      <formula1>'1. Roster &amp; Roles'!$C$5:$C$20</formula1>
    </dataValidation>
    <dataValidation type="list" allowBlank="1" showInputMessage="1" sqref="L25">
      <formula1>'1. Roster &amp; Roles'!$C$5:$C$20</formula1>
    </dataValidation>
    <dataValidation type="list" allowBlank="1" showInputMessage="1" sqref="L26">
      <formula1>'1. Roster &amp; Roles'!$C$5:$C$20</formula1>
    </dataValidation>
    <dataValidation type="list" allowBlank="1" showInputMessage="1" sqref="L27">
      <formula1>'1. Roster &amp; Roles'!$C$5:$C$20</formula1>
    </dataValidation>
    <dataValidation type="list" allowBlank="1" showInputMessage="1" sqref="L28">
      <formula1>'1. Roster &amp; Roles'!$C$5:$C$20</formula1>
    </dataValidation>
    <dataValidation type="list" allowBlank="1" showInputMessage="1" sqref="L29">
      <formula1>'1. Roster &amp; Roles'!$C$5:$C$20</formula1>
    </dataValidation>
    <dataValidation type="list" allowBlank="1" showInputMessage="1" sqref="L30">
      <formula1>'1. Roster &amp; Roles'!$C$5:$C$20</formula1>
    </dataValidation>
    <dataValidation type="list" allowBlank="1" showInputMessage="1" sqref="L31">
      <formula1>'1. Roster &amp; Roles'!$C$5:$C$20</formula1>
    </dataValidation>
    <dataValidation type="list" allowBlank="1" showInputMessage="1" sqref="L32">
      <formula1>'1. Roster &amp; Roles'!$C$5:$C$20</formula1>
    </dataValidation>
    <dataValidation type="list" allowBlank="1" showInputMessage="1" sqref="L33">
      <formula1>'1. Roster &amp; Roles'!$C$5:$C$20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6" width="25.7109375" customWidth="1"/>
  </cols>
  <sheetData>
    <row r="1" spans="1:1">
      <c r="A1" s="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/>
  </sheetViews>
  <sheetFormatPr defaultRowHeight="15"/>
  <cols>
    <col min="1" max="2" width="25.7109375" customWidth="1"/>
    <col min="3" max="3" width="10.7109375" customWidth="1"/>
    <col min="4" max="4" width="25.7109375" customWidth="1"/>
    <col min="5" max="7" width="20.7109375" customWidth="1"/>
    <col min="8" max="8" width="15.7109375" customWidth="1"/>
  </cols>
  <sheetData>
    <row r="1" spans="1:8">
      <c r="A1" s="1" t="s">
        <v>123</v>
      </c>
    </row>
    <row r="5" spans="1:8">
      <c r="A5" s="2" t="s">
        <v>124</v>
      </c>
      <c r="B5" s="2" t="s">
        <v>125</v>
      </c>
      <c r="C5" s="2" t="s">
        <v>126</v>
      </c>
      <c r="D5" s="2" t="s">
        <v>127</v>
      </c>
      <c r="E5" s="2" t="s">
        <v>50</v>
      </c>
      <c r="F5" s="2" t="s">
        <v>51</v>
      </c>
      <c r="G5" s="2" t="s">
        <v>128</v>
      </c>
      <c r="H5" s="2" t="s">
        <v>129</v>
      </c>
    </row>
    <row r="6" spans="1:8" ht="22" customHeight="1">
      <c r="A6" s="3" t="s">
        <v>130</v>
      </c>
      <c r="B6" s="3" t="s">
        <v>131</v>
      </c>
      <c r="C6" s="3" t="s">
        <v>132</v>
      </c>
      <c r="D6" s="3" t="s">
        <v>91</v>
      </c>
      <c r="E6" s="10" t="s">
        <v>16</v>
      </c>
      <c r="F6" s="3"/>
      <c r="G6" s="3">
        <f>IF(F6="", IFERROR(VLOOKUP(E6, '1. Roster &amp; Roles'!A:C, 3, FALSE), "Unassigned"), F6)</f>
        <v>0</v>
      </c>
      <c r="H6" s="3" t="s">
        <v>133</v>
      </c>
    </row>
    <row r="7" spans="1:8" ht="22" customHeight="1">
      <c r="A7" s="4" t="s">
        <v>130</v>
      </c>
      <c r="B7" s="4" t="s">
        <v>134</v>
      </c>
      <c r="C7" s="4" t="s">
        <v>135</v>
      </c>
      <c r="D7" s="4" t="s">
        <v>91</v>
      </c>
      <c r="E7" s="10" t="s">
        <v>11</v>
      </c>
      <c r="F7" s="4"/>
      <c r="G7" s="4">
        <f>IF(F7="", IFERROR(VLOOKUP(E7, '1. Roster &amp; Roles'!A:C, 3, FALSE), "Unassigned"), F7)</f>
        <v>0</v>
      </c>
      <c r="H7" s="4" t="s">
        <v>133</v>
      </c>
    </row>
    <row r="8" spans="1:8" ht="22" customHeight="1">
      <c r="A8" s="3" t="s">
        <v>130</v>
      </c>
      <c r="B8" s="3" t="s">
        <v>136</v>
      </c>
      <c r="C8" s="3" t="s">
        <v>137</v>
      </c>
      <c r="D8" s="3" t="s">
        <v>118</v>
      </c>
      <c r="E8" s="10" t="s">
        <v>22</v>
      </c>
      <c r="F8" s="3"/>
      <c r="G8" s="3">
        <f>IF(F8="", IFERROR(VLOOKUP(E8, '1. Roster &amp; Roles'!A:C, 3, FALSE), "Unassigned"), F8)</f>
        <v>0</v>
      </c>
      <c r="H8" s="3" t="s">
        <v>133</v>
      </c>
    </row>
    <row r="9" spans="1:8" ht="22" customHeight="1">
      <c r="A9" s="4" t="s">
        <v>130</v>
      </c>
      <c r="B9" s="4" t="s">
        <v>138</v>
      </c>
      <c r="C9" s="4" t="s">
        <v>139</v>
      </c>
      <c r="D9" s="4" t="s">
        <v>104</v>
      </c>
      <c r="E9" s="10" t="s">
        <v>16</v>
      </c>
      <c r="F9" s="4"/>
      <c r="G9" s="4">
        <f>IF(F9="", IFERROR(VLOOKUP(E9, '1. Roster &amp; Roles'!A:C, 3, FALSE), "Unassigned"), F9)</f>
        <v>0</v>
      </c>
      <c r="H9" s="4" t="s">
        <v>133</v>
      </c>
    </row>
    <row r="10" spans="1:8" ht="22" customHeight="1">
      <c r="A10" s="3" t="s">
        <v>130</v>
      </c>
      <c r="B10" s="3" t="s">
        <v>140</v>
      </c>
      <c r="C10" s="3" t="s">
        <v>135</v>
      </c>
      <c r="D10" s="3" t="s">
        <v>81</v>
      </c>
      <c r="E10" s="10" t="s">
        <v>22</v>
      </c>
      <c r="F10" s="3"/>
      <c r="G10" s="3">
        <f>IF(F10="", IFERROR(VLOOKUP(E10, '1. Roster &amp; Roles'!A:C, 3, FALSE), "Unassigned"), F10)</f>
        <v>0</v>
      </c>
      <c r="H10" s="3" t="s">
        <v>133</v>
      </c>
    </row>
    <row r="11" spans="1:8" ht="22" customHeight="1">
      <c r="A11" s="4" t="s">
        <v>130</v>
      </c>
      <c r="B11" s="4" t="s">
        <v>141</v>
      </c>
      <c r="C11" s="4" t="s">
        <v>137</v>
      </c>
      <c r="D11" s="4" t="s">
        <v>81</v>
      </c>
      <c r="E11" s="10" t="s">
        <v>22</v>
      </c>
      <c r="F11" s="4"/>
      <c r="G11" s="4">
        <f>IF(F11="", IFERROR(VLOOKUP(E11, '1. Roster &amp; Roles'!A:C, 3, FALSE), "Unassigned"), F11)</f>
        <v>0</v>
      </c>
      <c r="H11" s="4" t="s">
        <v>133</v>
      </c>
    </row>
    <row r="12" spans="1:8" ht="22" customHeight="1">
      <c r="A12" s="3" t="s">
        <v>130</v>
      </c>
      <c r="B12" s="3" t="s">
        <v>142</v>
      </c>
      <c r="C12" s="3" t="s">
        <v>143</v>
      </c>
      <c r="D12" s="3" t="s">
        <v>84</v>
      </c>
      <c r="E12" s="10" t="s">
        <v>11</v>
      </c>
      <c r="F12" s="3"/>
      <c r="G12" s="3">
        <f>IF(F12="", IFERROR(VLOOKUP(E12, '1. Roster &amp; Roles'!A:C, 3, FALSE), "Unassigned"), F12)</f>
        <v>0</v>
      </c>
      <c r="H12" s="3" t="s">
        <v>133</v>
      </c>
    </row>
    <row r="13" spans="1:8" ht="22" customHeight="1">
      <c r="A13" s="4" t="s">
        <v>130</v>
      </c>
      <c r="B13" s="4" t="s">
        <v>144</v>
      </c>
      <c r="C13" s="4" t="s">
        <v>145</v>
      </c>
      <c r="D13" s="4" t="s">
        <v>84</v>
      </c>
      <c r="E13" s="10" t="s">
        <v>11</v>
      </c>
      <c r="F13" s="4"/>
      <c r="G13" s="4">
        <f>IF(F13="", IFERROR(VLOOKUP(E13, '1. Roster &amp; Roles'!A:C, 3, FALSE), "Unassigned"), F13)</f>
        <v>0</v>
      </c>
      <c r="H13" s="4" t="s">
        <v>133</v>
      </c>
    </row>
    <row r="14" spans="1:8" ht="22" customHeight="1">
      <c r="A14" s="3" t="s">
        <v>130</v>
      </c>
      <c r="B14" s="3" t="s">
        <v>146</v>
      </c>
      <c r="C14" s="3" t="s">
        <v>145</v>
      </c>
      <c r="D14" s="3" t="s">
        <v>84</v>
      </c>
      <c r="E14" s="10" t="s">
        <v>11</v>
      </c>
      <c r="F14" s="3"/>
      <c r="G14" s="3">
        <f>IF(F14="", IFERROR(VLOOKUP(E14, '1. Roster &amp; Roles'!A:C, 3, FALSE), "Unassigned"), F14)</f>
        <v>0</v>
      </c>
      <c r="H14" s="3" t="s">
        <v>133</v>
      </c>
    </row>
    <row r="15" spans="1:8" ht="22" customHeight="1">
      <c r="A15" s="4" t="s">
        <v>147</v>
      </c>
      <c r="B15" s="4" t="s">
        <v>148</v>
      </c>
      <c r="C15" s="4" t="s">
        <v>149</v>
      </c>
      <c r="D15" s="4" t="s">
        <v>101</v>
      </c>
      <c r="E15" s="10" t="s">
        <v>26</v>
      </c>
      <c r="F15" s="4"/>
      <c r="G15" s="4">
        <f>IF(F15="", IFERROR(VLOOKUP(E15, '1. Roster &amp; Roles'!A:C, 3, FALSE), "Unassigned"), F15)</f>
        <v>0</v>
      </c>
      <c r="H15" s="4" t="s">
        <v>133</v>
      </c>
    </row>
    <row r="16" spans="1:8" ht="22" customHeight="1">
      <c r="A16" s="3" t="s">
        <v>147</v>
      </c>
      <c r="B16" s="3" t="s">
        <v>150</v>
      </c>
      <c r="C16" s="3" t="s">
        <v>151</v>
      </c>
      <c r="D16" s="3" t="s">
        <v>91</v>
      </c>
      <c r="E16" s="10" t="s">
        <v>26</v>
      </c>
      <c r="F16" s="3"/>
      <c r="G16" s="3">
        <f>IF(F16="", IFERROR(VLOOKUP(E16, '1. Roster &amp; Roles'!A:C, 3, FALSE), "Unassigned"), F16)</f>
        <v>0</v>
      </c>
      <c r="H16" s="3" t="s">
        <v>133</v>
      </c>
    </row>
    <row r="17" spans="1:8" ht="22" customHeight="1">
      <c r="A17" s="4" t="s">
        <v>147</v>
      </c>
      <c r="B17" s="4" t="s">
        <v>152</v>
      </c>
      <c r="C17" s="4" t="s">
        <v>153</v>
      </c>
      <c r="D17" s="4" t="s">
        <v>91</v>
      </c>
      <c r="E17" s="10" t="s">
        <v>26</v>
      </c>
      <c r="F17" s="4"/>
      <c r="G17" s="4">
        <f>IF(F17="", IFERROR(VLOOKUP(E17, '1. Roster &amp; Roles'!A:C, 3, FALSE), "Unassigned"), F17)</f>
        <v>0</v>
      </c>
      <c r="H17" s="4" t="s">
        <v>133</v>
      </c>
    </row>
    <row r="18" spans="1:8" ht="22" customHeight="1">
      <c r="A18" s="3" t="s">
        <v>147</v>
      </c>
      <c r="B18" s="3" t="s">
        <v>154</v>
      </c>
      <c r="C18" s="3" t="s">
        <v>155</v>
      </c>
      <c r="D18" s="3" t="s">
        <v>104</v>
      </c>
      <c r="E18" s="10" t="s">
        <v>26</v>
      </c>
      <c r="F18" s="3"/>
      <c r="G18" s="3">
        <f>IF(F18="", IFERROR(VLOOKUP(E18, '1. Roster &amp; Roles'!A:C, 3, FALSE), "Unassigned"), F18)</f>
        <v>0</v>
      </c>
      <c r="H18" s="3" t="s">
        <v>133</v>
      </c>
    </row>
    <row r="19" spans="1:8" ht="22" customHeight="1">
      <c r="A19" s="4" t="s">
        <v>147</v>
      </c>
      <c r="B19" s="4" t="s">
        <v>156</v>
      </c>
      <c r="C19" s="4" t="s">
        <v>157</v>
      </c>
      <c r="D19" s="4" t="s">
        <v>104</v>
      </c>
      <c r="E19" s="10" t="s">
        <v>26</v>
      </c>
      <c r="F19" s="4"/>
      <c r="G19" s="4">
        <f>IF(F19="", IFERROR(VLOOKUP(E19, '1. Roster &amp; Roles'!A:C, 3, FALSE), "Unassigned"), F19)</f>
        <v>0</v>
      </c>
      <c r="H19" s="4" t="s">
        <v>133</v>
      </c>
    </row>
  </sheetData>
  <dataValidations count="14">
    <dataValidation type="list" allowBlank="1" showInputMessage="1" sqref="D6">
      <formula1>'2. Dynamic Timetable'!$H$8:$H$40</formula1>
    </dataValidation>
    <dataValidation type="list" allowBlank="1" showInputMessage="1" sqref="D7">
      <formula1>'2. Dynamic Timetable'!$H$8:$H$40</formula1>
    </dataValidation>
    <dataValidation type="list" allowBlank="1" showInputMessage="1" sqref="D8">
      <formula1>'2. Dynamic Timetable'!$H$8:$H$40</formula1>
    </dataValidation>
    <dataValidation type="list" allowBlank="1" showInputMessage="1" sqref="D9">
      <formula1>'2. Dynamic Timetable'!$H$8:$H$40</formula1>
    </dataValidation>
    <dataValidation type="list" allowBlank="1" showInputMessage="1" sqref="D10">
      <formula1>'2. Dynamic Timetable'!$H$8:$H$40</formula1>
    </dataValidation>
    <dataValidation type="list" allowBlank="1" showInputMessage="1" sqref="D11">
      <formula1>'2. Dynamic Timetable'!$H$8:$H$40</formula1>
    </dataValidation>
    <dataValidation type="list" allowBlank="1" showInputMessage="1" sqref="D12">
      <formula1>'2. Dynamic Timetable'!$H$8:$H$40</formula1>
    </dataValidation>
    <dataValidation type="list" allowBlank="1" showInputMessage="1" sqref="D13">
      <formula1>'2. Dynamic Timetable'!$H$8:$H$40</formula1>
    </dataValidation>
    <dataValidation type="list" allowBlank="1" showInputMessage="1" sqref="D14">
      <formula1>'2. Dynamic Timetable'!$H$8:$H$40</formula1>
    </dataValidation>
    <dataValidation type="list" allowBlank="1" showInputMessage="1" sqref="D15">
      <formula1>'2. Dynamic Timetable'!$H$8:$H$40</formula1>
    </dataValidation>
    <dataValidation type="list" allowBlank="1" showInputMessage="1" sqref="D16">
      <formula1>'2. Dynamic Timetable'!$H$8:$H$40</formula1>
    </dataValidation>
    <dataValidation type="list" allowBlank="1" showInputMessage="1" sqref="D17">
      <formula1>'2. Dynamic Timetable'!$H$8:$H$40</formula1>
    </dataValidation>
    <dataValidation type="list" allowBlank="1" showInputMessage="1" sqref="D18">
      <formula1>'2. Dynamic Timetable'!$H$8:$H$40</formula1>
    </dataValidation>
    <dataValidation type="list" allowBlank="1" showInputMessage="1" sqref="D19">
      <formula1>'2. Dynamic Timetable'!$H$8:$H$40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/>
  </sheetViews>
  <sheetFormatPr defaultRowHeight="15"/>
  <cols>
    <col min="1" max="1" width="25.7109375" customWidth="1"/>
    <col min="2" max="3" width="60.7109375" customWidth="1"/>
  </cols>
  <sheetData>
    <row r="1" spans="1:3">
      <c r="A1" s="1" t="s">
        <v>158</v>
      </c>
    </row>
    <row r="2" spans="1:3">
      <c r="A2" s="5" t="s">
        <v>159</v>
      </c>
    </row>
    <row r="5" spans="1:3">
      <c r="A5" s="2" t="s">
        <v>127</v>
      </c>
      <c r="B5" s="2" t="s">
        <v>160</v>
      </c>
      <c r="C5" s="2" t="s">
        <v>161</v>
      </c>
    </row>
    <row r="6" spans="1:3" ht="60" customHeight="1">
      <c r="A6" s="3" t="s">
        <v>81</v>
      </c>
      <c r="B6" s="3" t="s">
        <v>162</v>
      </c>
      <c r="C6" s="3" t="s">
        <v>163</v>
      </c>
    </row>
    <row r="7" spans="1:3" ht="60" customHeight="1">
      <c r="A7" s="4" t="s">
        <v>91</v>
      </c>
      <c r="B7" s="4" t="s">
        <v>164</v>
      </c>
      <c r="C7" s="4" t="s">
        <v>165</v>
      </c>
    </row>
    <row r="8" spans="1:3" ht="60" customHeight="1">
      <c r="A8" s="3" t="s">
        <v>104</v>
      </c>
      <c r="B8" s="3" t="s">
        <v>166</v>
      </c>
      <c r="C8" s="3" t="s">
        <v>167</v>
      </c>
    </row>
    <row r="9" spans="1:3" ht="60" customHeight="1">
      <c r="A9" s="4" t="s">
        <v>116</v>
      </c>
      <c r="B9" s="4" t="s">
        <v>168</v>
      </c>
      <c r="C9" s="4" t="s">
        <v>169</v>
      </c>
    </row>
  </sheetData>
  <dataValidations count="4">
    <dataValidation type="list" allowBlank="1" showInputMessage="1" sqref="A6">
      <formula1>'2. Dynamic Timetable'!$H$8:$H$40</formula1>
    </dataValidation>
    <dataValidation type="list" allowBlank="1" showInputMessage="1" sqref="A7">
      <formula1>'2. Dynamic Timetable'!$H$8:$H$40</formula1>
    </dataValidation>
    <dataValidation type="list" allowBlank="1" showInputMessage="1" sqref="A8">
      <formula1>'2. Dynamic Timetable'!$H$8:$H$40</formula1>
    </dataValidation>
    <dataValidation type="list" allowBlank="1" showInputMessage="1" sqref="A9">
      <formula1>'2. Dynamic Timetable'!$H$8:$H$40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Roster &amp; Roles</vt:lpstr>
      <vt:lpstr>2. Dynamic Timetable</vt:lpstr>
      <vt:lpstr>3. Task Checklist</vt:lpstr>
      <vt:lpstr>4. Equipment &amp; Shopping</vt:lpstr>
      <vt:lpstr>5. Activity Playbook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2026-07-21T20:23:53Z</dcterms:created>
  <dcterms:modified xsi:type="dcterms:W3CDTF">2026-07-21T20:23:53Z</dcterms:modified>
</cp:coreProperties>
</file>
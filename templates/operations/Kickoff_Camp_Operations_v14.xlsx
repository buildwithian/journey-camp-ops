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Settings &amp; Leaders" sheetId="1" r:id="rId1"/>
    <sheet name="2. Roster &amp; Roles" sheetId="2" r:id="rId2"/>
    <sheet name="3. Detailed Timetable" sheetId="3" r:id="rId3"/>
    <sheet name="4. Visual Schedule" sheetId="4" r:id="rId4"/>
    <sheet name="5. Pre-Camp Tasks" sheetId="5" r:id="rId5"/>
    <sheet name="6. Emergency &amp; Safety" sheetId="6" r:id="rId6"/>
    <sheet name="7. Camp Equipment" sheetId="7" r:id="rId7"/>
    <sheet name="8. Activity Equipment" sheetId="8" r:id="rId8"/>
    <sheet name="9. Food Shopping" sheetId="9" r:id="rId9"/>
    <sheet name="10. Activity Playbook" sheetId="10" r:id="rId10"/>
    <sheet name="11. Post-Camp Debrief" sheetId="11" r:id="rId11"/>
  </sheets>
  <calcPr calcId="124519" fullCalcOnLoad="1"/>
</workbook>
</file>

<file path=xl/sharedStrings.xml><?xml version="1.0" encoding="utf-8"?>
<sst xmlns="http://schemas.openxmlformats.org/spreadsheetml/2006/main" count="700" uniqueCount="416">
  <si>
    <t>⚙  Camp Settings &amp; Volunteer Directory</t>
  </si>
  <si>
    <t>Universal template for Dads &amp; Daughters or Dads &amp; Sons camps. Manage variables and available volunteers directory here.</t>
  </si>
  <si>
    <t xml:space="preserve">  CAMP TYPE CONFIGURATION</t>
  </si>
  <si>
    <t>Camp Track / Type</t>
  </si>
  <si>
    <t>Father &amp; Daughter Camp</t>
  </si>
  <si>
    <t xml:space="preserve">  CAMP ATTENDANCE VARIABLES</t>
  </si>
  <si>
    <t>Number of Dads</t>
  </si>
  <si>
    <t>Number of Children (Daughters/Sons)</t>
  </si>
  <si>
    <t>Helpers / Leaders / Lifeguards</t>
  </si>
  <si>
    <t>TOTAL PARTICIPANTS</t>
  </si>
  <si>
    <t xml:space="preserve">  AVAILABLE VOLUNTEERS DIRECTORY</t>
  </si>
  <si>
    <t>#</t>
  </si>
  <si>
    <t>Name</t>
  </si>
  <si>
    <t>Contact Number</t>
  </si>
  <si>
    <t>Email Address</t>
  </si>
  <si>
    <t>Ian Sinclair</t>
  </si>
  <si>
    <t>+27 63 893 9452</t>
  </si>
  <si>
    <t>ian@journey.org</t>
  </si>
  <si>
    <t>Neil Harrower</t>
  </si>
  <si>
    <t>+27 71 950 8363</t>
  </si>
  <si>
    <t>neil@journey.org</t>
  </si>
  <si>
    <t>Marvin Welby-Solomon</t>
  </si>
  <si>
    <t>marvin@journey.org</t>
  </si>
  <si>
    <t>Kingsley Williams</t>
  </si>
  <si>
    <t>+27 83 260 5311</t>
  </si>
  <si>
    <t>kingsley@journey.org</t>
  </si>
  <si>
    <t>Kevin de Wet</t>
  </si>
  <si>
    <t>+27 82 908 2460</t>
  </si>
  <si>
    <t>kevin@journey.org</t>
  </si>
  <si>
    <t>Paul Barter</t>
  </si>
  <si>
    <t>paul@journey.org</t>
  </si>
  <si>
    <t>Raldo Kruger (Lifeguard Lead)</t>
  </si>
  <si>
    <t>+27 84 511 8606</t>
  </si>
  <si>
    <t>raldo@journey.org</t>
  </si>
  <si>
    <t>Gavin Graham (Lifeguard 2)</t>
  </si>
  <si>
    <t>+27 82 123 4567</t>
  </si>
  <si>
    <t>gavin@journey.org</t>
  </si>
  <si>
    <t>Richard Walker</t>
  </si>
  <si>
    <t>richard@journey.org</t>
  </si>
  <si>
    <t>Youth Track Leader A</t>
  </si>
  <si>
    <t>youth1@journey.org</t>
  </si>
  <si>
    <t>Youth Track Leader B</t>
  </si>
  <si>
    <t>youth2@journey.org</t>
  </si>
  <si>
    <t>👥  Roles &amp; Volunteer Roster</t>
  </si>
  <si>
    <t>Assign volunteers from Settings tab to each role. Contact number &amp; email auto-fill.</t>
  </si>
  <si>
    <t xml:space="preserve">  ROLE ASSIGNMENTS &amp; WATER SAFETY ROSTER</t>
  </si>
  <si>
    <t>Role Title</t>
  </si>
  <si>
    <t>Description &amp; Default Duties</t>
  </si>
  <si>
    <t>Assigned Volunteer</t>
  </si>
  <si>
    <t>Auto-Filled Contact</t>
  </si>
  <si>
    <t>Auto-Filled Email</t>
  </si>
  <si>
    <t>Oversight Lead</t>
  </si>
  <si>
    <t>• Ultimate decision-making authority during the camp.
• Handles live issues (emergencies, weather changes, medical decisions).
• Leads high-level reflections and debriefs.</t>
  </si>
  <si>
    <t>Logistics Lead</t>
  </si>
  <si>
    <t>• Manages all physical setup and breakdown.
• Coordinates camp layout, tents/bivvies, fire preparation.</t>
  </si>
  <si>
    <t>Session Coordinator</t>
  </si>
  <si>
    <t>• Facilitates the core structured spiritual/emotional sessions (e.g., Malachi discussion).</t>
  </si>
  <si>
    <t>Activity Facilitator</t>
  </si>
  <si>
    <t>• Brings high energy to run the games and challenges (Clay Latte, Tug of War, Name Games).</t>
  </si>
  <si>
    <t>Catering / Fire Lead</t>
  </si>
  <si>
    <t>• For the kick-off camp, meals are brought by each father-child pair.
• Key role: ensure communal fires are lit on time, safe, and maintained.</t>
  </si>
  <si>
    <t>Administration</t>
  </si>
  <si>
    <t>• Handles all paperwork, nametags, RSVPs, emergency contact list, and gate-keeping.</t>
  </si>
  <si>
    <t>Lifeguard 1 (Water Safety Lead)</t>
  </si>
  <si>
    <t>• DEDICATED WATER SAFETY LEAD: Stationed at the dam/water during ALL water activities (Dam Swim, Clay Latte water obstacle, Tug of War swim).
• Enforces water safety rules, maintains ratio, holds throw rope/life buoy.</t>
  </si>
  <si>
    <t>Lifeguard 2 (Water Safety)</t>
  </si>
  <si>
    <t>• DEDICATED SECOND LIFEGUARD: Assists Water Safety Lead during all water entries.
• Scans water zones and assists in emergency response if needed.</t>
  </si>
  <si>
    <t>Youth Track Leader 1</t>
  </si>
  <si>
    <t>• Supports youth-specific activities and engagement during free time.</t>
  </si>
  <si>
    <t>Youth Track Leader 2</t>
  </si>
  <si>
    <t>General Helper 1</t>
  </si>
  <si>
    <t>• Assists Logistics and Catering leads where extra hands are needed.</t>
  </si>
  <si>
    <t>General Helper 2</t>
  </si>
  <si>
    <t>• Assists Activity Facilitator and Session Coordinator.</t>
  </si>
  <si>
    <t>Communion Sub-Leader</t>
  </si>
  <si>
    <t>• Sub-task role to run and administer communion elements on Sunday morning.</t>
  </si>
  <si>
    <t>📋  Detailed Run Sheet</t>
  </si>
  <si>
    <t>Sequential timetable with Plan B Weather Contingency for every activity. Override start times by typing directly.</t>
  </si>
  <si>
    <t>Camp Start Time ▸</t>
  </si>
  <si>
    <t>Day</t>
  </si>
  <si>
    <t>Start</t>
  </si>
  <si>
    <t>End</t>
  </si>
  <si>
    <t>Duration</t>
  </si>
  <si>
    <t>Activity</t>
  </si>
  <si>
    <t>Description</t>
  </si>
  <si>
    <t>Assigned Role</t>
  </si>
  <si>
    <t>Plan B (Weather Contingency)</t>
  </si>
  <si>
    <t>Phase</t>
  </si>
  <si>
    <t>Saturday</t>
  </si>
  <si>
    <t>Arrival</t>
  </si>
  <si>
    <t>Arrive at camp, name tags, get to know contacts</t>
  </si>
  <si>
    <t>Plan A operates in all weather (indoor/covered check-in)</t>
  </si>
  <si>
    <t>Ice Breaker</t>
  </si>
  <si>
    <t>Get to know each other (Child introduces Father, name game)</t>
  </si>
  <si>
    <t>Move under covered veranda or main hall if raining</t>
  </si>
  <si>
    <t>Clay Latte</t>
  </si>
  <si>
    <t>Father-child activities (Clay Latte) &amp; Dam swim (Lifeguards active)</t>
  </si>
  <si>
    <t>Activity Facilitator / Lifeguard 1</t>
  </si>
  <si>
    <t>If rain/lightning: Cancel dam swim. Move clay building under covered veranda.</t>
  </si>
  <si>
    <t>Camp Setup</t>
  </si>
  <si>
    <t>Set-up shelters, bivvy equipment, prepare fire</t>
  </si>
  <si>
    <t>If heavy rain: Erect waterproof tarps overhead / setup inside main hall/barn.</t>
  </si>
  <si>
    <t>Setup</t>
  </si>
  <si>
    <t>Dinner Prep</t>
  </si>
  <si>
    <t>Ensure fire is started on time with enough coals for families to cook.</t>
  </si>
  <si>
    <t>If rain: Use covered braai area or gas stoves under gazebo.</t>
  </si>
  <si>
    <t>Dinner</t>
  </si>
  <si>
    <t>Dads and children cook and have supper together</t>
  </si>
  <si>
    <t>Eat under covered dining veranda / hall.</t>
  </si>
  <si>
    <t>Stokbrood</t>
  </si>
  <si>
    <t>Marshmallows and stokbrood at fire, chat about question cards</t>
  </si>
  <si>
    <t>If rain: Move stokbrood cooking to gas stoves under gazebo; sit inside for questions.</t>
  </si>
  <si>
    <t>Evening</t>
  </si>
  <si>
    <t>Skits &amp; Debrief</t>
  </si>
  <si>
    <t>Present skits and carving, end of evening debrief</t>
  </si>
  <si>
    <t>Move inside main hall / large marquee.</t>
  </si>
  <si>
    <t>Wind Down</t>
  </si>
  <si>
    <t>Bed Time</t>
  </si>
  <si>
    <t>Lights out</t>
  </si>
  <si>
    <t>If severe storm: Move sleeping from bivvies into indoor hall/vehicles.</t>
  </si>
  <si>
    <t>Lights Out</t>
  </si>
  <si>
    <t>Sunday</t>
  </si>
  <si>
    <t>Wake Up</t>
  </si>
  <si>
    <t>Wake up, dam swim (Lifeguards active), boil kettles, coffee</t>
  </si>
  <si>
    <t>Logistics Lead / Lifeguard 1</t>
  </si>
  <si>
    <t>If rain/cold: Cancel dam swim. Hot coffee &amp; kettles under veranda.</t>
  </si>
  <si>
    <t>Morning</t>
  </si>
  <si>
    <t>Malachi</t>
  </si>
  <si>
    <t>Malachi discussion (sand demo) and scripture video</t>
  </si>
  <si>
    <t>Move inside main hall with projector.</t>
  </si>
  <si>
    <t>Session 1</t>
  </si>
  <si>
    <t>Communion</t>
  </si>
  <si>
    <t>Administer communion elements</t>
  </si>
  <si>
    <t>Perform inside hall or under covered gazebo with soft lighting.</t>
  </si>
  <si>
    <t>Quiet Time</t>
  </si>
  <si>
    <t>Father-child quiet time (reflect on Malachi)</t>
  </si>
  <si>
    <t>Sit on covered porch / inside main hall in quiet corners.</t>
  </si>
  <si>
    <t>Session 2</t>
  </si>
  <si>
    <t>Breakfast</t>
  </si>
  <si>
    <t>Fire ready, boiling water. Families prepare own breakfast.</t>
  </si>
  <si>
    <t>Use covered kitchen area / gas burners under gazebo.</t>
  </si>
  <si>
    <t>Manhood Talk</t>
  </si>
  <si>
    <t>Dad's talk and children's talk split</t>
  </si>
  <si>
    <t>Split into two separate indoor rooms / covered areas.</t>
  </si>
  <si>
    <t>Session 3</t>
  </si>
  <si>
    <t>Final Debrief</t>
  </si>
  <si>
    <t>Reflection on the sleepover, present carving</t>
  </si>
  <si>
    <t>Inside main hall.</t>
  </si>
  <si>
    <t>Debrief</t>
  </si>
  <si>
    <t>Pack Up</t>
  </si>
  <si>
    <t>Pack up camp</t>
  </si>
  <si>
    <t>Use tarps over gear while packing into vehicles.</t>
  </si>
  <si>
    <t>Tug of War</t>
  </si>
  <si>
    <t>Father-child activity (Tug of war, Dam swim - Lifeguards active)</t>
  </si>
  <si>
    <t>If rain: Cancel dam swim. Mud tug-of-war if light rain, or indoor arm wrestling challenge if heavy rain.</t>
  </si>
  <si>
    <t>Departure</t>
  </si>
  <si>
    <t>Depart from camp</t>
  </si>
  <si>
    <t>Final departure from venue.</t>
  </si>
  <si>
    <t>🗓  Visual Camp Schedule</t>
  </si>
  <si>
    <t>Auto-updating overview. Print this page or view on your phone for a quick reference.</t>
  </si>
  <si>
    <t>☀  SATURDAY</t>
  </si>
  <si>
    <t>🌅  SUNDAY</t>
  </si>
  <si>
    <t>✅  Pre-Camp Task Checklist</t>
  </si>
  <si>
    <t>Action items that must be completed before arrival at the camp venue.</t>
  </si>
  <si>
    <t xml:space="preserve">  PRE-PLANNING TASKS</t>
  </si>
  <si>
    <t>Category</t>
  </si>
  <si>
    <t>Task Description</t>
  </si>
  <si>
    <t>Status</t>
  </si>
  <si>
    <t>Notes</t>
  </si>
  <si>
    <t>Pre-Planning</t>
  </si>
  <si>
    <t>Finalize RSVP list and dietary requirements</t>
  </si>
  <si>
    <t>Not Started</t>
  </si>
  <si>
    <t>Review medical forms, emergency contacts &amp; allergy flags</t>
  </si>
  <si>
    <t>Confirm 2 Lifeguards / Water Safety Leads assigned &amp; certified</t>
  </si>
  <si>
    <t>Inspect water safety equipment (throw ropes, life buoys, first aid kit)</t>
  </si>
  <si>
    <t>Confirm venue emergency contacts &amp; directions to nearest hospital</t>
  </si>
  <si>
    <t>Purchase all communal shopping list items (see Food tab)</t>
  </si>
  <si>
    <t>Print name tags and laminate question cards</t>
  </si>
  <si>
    <t>Confirm venue access codes and agree on final camp &amp; weather Plan B layout</t>
  </si>
  <si>
    <t>Pack all camp equipment, tents, bivvies, and activity gear</t>
  </si>
  <si>
    <t>Download YouTube Malachi scripture video to a device</t>
  </si>
  <si>
    <t>Test projector and speaker with downloaded video</t>
  </si>
  <si>
    <t>Communicate final packing list &amp; weather Plan B to all fathers</t>
  </si>
  <si>
    <t>Prepare communion elements (bread loaf, grape juice)</t>
  </si>
  <si>
    <t>🚨  Emergency &amp; Safety Protocols</t>
  </si>
  <si>
    <t>Emergency contacts, hospital directions, water safety rules, and medical escalation procedures.</t>
  </si>
  <si>
    <t xml:space="preserve">  1. EMERGENCY SERVICES &amp; VENUE INFO</t>
  </si>
  <si>
    <t>Service / Contact</t>
  </si>
  <si>
    <t>Phone Number</t>
  </si>
  <si>
    <t>Address / Details</t>
  </si>
  <si>
    <t>Notes / Instructions</t>
  </si>
  <si>
    <t>Nearest Hospital (ER)</t>
  </si>
  <si>
    <t>+27 21 850 4000</t>
  </si>
  <si>
    <t>Helderberg Hospital / Medi-Clinic, Somerset West</t>
  </si>
  <si>
    <t>24hr Emergency Room. Drive time: ~20 min. Emergency vehicle assigned: Logistics Lead car.</t>
  </si>
  <si>
    <t>Ambulance (ER24 / Netcare)</t>
  </si>
  <si>
    <t>10177 / 084 124</t>
  </si>
  <si>
    <t>National Dispatch</t>
  </si>
  <si>
    <t>State exact venue GPS coordinates and nature of injury.</t>
  </si>
  <si>
    <t>Venue Landowner / Manager</t>
  </si>
  <si>
    <t>+27 82 555 1234</t>
  </si>
  <si>
    <t>Camp Site Main Gate / Office</t>
  </si>
  <si>
    <t>For gate access override, power failure, or farm emergencies.</t>
  </si>
  <si>
    <t>Journey Oversight Lead</t>
  </si>
  <si>
    <t>Ian Sinclair (On-site)</t>
  </si>
  <si>
    <t>Primary decision maker for medical evacuation or incident reporting.</t>
  </si>
  <si>
    <t>Water Safety Lead (Lifeguard 1)</t>
  </si>
  <si>
    <t>Raldo Kruger (On-site)</t>
  </si>
  <si>
    <t>Certified Lifeguard &amp; First Aid Lead for all dam activities.</t>
  </si>
  <si>
    <t>Water Safety (Lifeguard 2)</t>
  </si>
  <si>
    <t>Gavin Graham (On-site)</t>
  </si>
  <si>
    <t>Secondary Lifeguard &amp; Spotter for dam entry.</t>
  </si>
  <si>
    <t xml:space="preserve">  2. WATER SAFETY &amp; DAM PROTOCOL</t>
  </si>
  <si>
    <t>Rule / Protocol</t>
  </si>
  <si>
    <t>Requirement</t>
  </si>
  <si>
    <t>Responsible Role</t>
  </si>
  <si>
    <t>Enforcement &amp; Action Plan</t>
  </si>
  <si>
    <t>Dedicated Lifeguard Watching</t>
  </si>
  <si>
    <t>ALWAYS active during dam entry</t>
  </si>
  <si>
    <t>Lifeguard 1 &amp; Lifeguard 2</t>
  </si>
  <si>
    <t>NO ONE enters the dam unless Lifeguard 1 &amp; Lifeguard 2 are on the bank watching. Zero exceptions.</t>
  </si>
  <si>
    <t>Adult Supervision Ratio</t>
  </si>
  <si>
    <t>1 adult per 2 children in water</t>
  </si>
  <si>
    <t>All Fathers &amp; Lifeguards</t>
  </si>
  <si>
    <t>Fathers must be in the water or at the water edge actively watching their child.</t>
  </si>
  <si>
    <t>Safety Equipment Required</t>
  </si>
  <si>
    <t>Life buoy + Throw rope + First aid kit</t>
  </si>
  <si>
    <t>Lifeguard 1</t>
  </si>
  <si>
    <t>Kept on the dam bank at all times during swimming / Clay Latte / Tug of War.</t>
  </si>
  <si>
    <t>Weather / Lightning Rule</t>
  </si>
  <si>
    <t>Immediate water exit on thunder/rain</t>
  </si>
  <si>
    <t>Oversight Lead &amp; Lifeguard 1</t>
  </si>
  <si>
    <t>If lightning or thunder occurs within 10km, water cleared immediately for 30 minutes minimum.</t>
  </si>
  <si>
    <t>Buddy System</t>
  </si>
  <si>
    <t>Pair up every child</t>
  </si>
  <si>
    <t>Children must stay with their father/buddy at all times in the water zone.</t>
  </si>
  <si>
    <t xml:space="preserve">  3. MEDICAL INCIDENT DECISION TREE</t>
  </si>
  <si>
    <t>Severity Level</t>
  </si>
  <si>
    <t>Examples</t>
  </si>
  <si>
    <t>Immediate Action</t>
  </si>
  <si>
    <t>Escalation &amp; Communication</t>
  </si>
  <si>
    <t>Level 1: Minor</t>
  </si>
  <si>
    <t>Scrape, minor cut, bee sting, small burn</t>
  </si>
  <si>
    <t>Treat using First Aid Kit on-site.</t>
  </si>
  <si>
    <t>Log in incident notes. Inform father.</t>
  </si>
  <si>
    <t>Level 2: Moderate</t>
  </si>
  <si>
    <t>Deep cut, sprain, persistent vomiting, mild allergic reaction</t>
  </si>
  <si>
    <t>Administer first aid, assess if hospital visit needed.</t>
  </si>
  <si>
    <t>Inform Oversight Lead &amp; Parent immediately. Drive to Helderberg ER if required.</t>
  </si>
  <si>
    <t>Level 3: Severe</t>
  </si>
  <si>
    <t>Near-drowning, fracture, head injury, severe anaphylaxis</t>
  </si>
  <si>
    <t>Call Ambulance (10177 / 084 124) immediately. Begin CPR / First Aid.</t>
  </si>
  <si>
    <t>Oversight Lead takes full command. Notify emergency contact. File formal incident report.</t>
  </si>
  <si>
    <t>🏕  General Camp &amp; Safety Equipment</t>
  </si>
  <si>
    <t>Core items for camp setup and safety kit. Static quantities.</t>
  </si>
  <si>
    <t xml:space="preserve">  GENERAL EQUIPMENT &amp; SAFETY CHECKLIST</t>
  </si>
  <si>
    <t>Item</t>
  </si>
  <si>
    <t>Qty</t>
  </si>
  <si>
    <t>First aid kit (Comprehensive)</t>
  </si>
  <si>
    <t>Oversight Lead / Lifeguard 1</t>
  </si>
  <si>
    <t>To Buy</t>
  </si>
  <si>
    <t>Life Buoy / Rescue Ring</t>
  </si>
  <si>
    <t>Water Rescue Throw Rope (20m)</t>
  </si>
  <si>
    <t>Lifeguard Whistles (High-decibel)</t>
  </si>
  <si>
    <t>High-Vis Lifeguard Vests</t>
  </si>
  <si>
    <t>Washing bowl</t>
  </si>
  <si>
    <t>Dish towel</t>
  </si>
  <si>
    <t>Dish cloth</t>
  </si>
  <si>
    <t>Dish scourers</t>
  </si>
  <si>
    <t>Dish washing liquid</t>
  </si>
  <si>
    <t>Chopping board (wooden)</t>
  </si>
  <si>
    <t>Garbage bags</t>
  </si>
  <si>
    <t>Spade</t>
  </si>
  <si>
    <t>Water Carrier</t>
  </si>
  <si>
    <t>Gas bottles</t>
  </si>
  <si>
    <t>Gas kettle (Large)</t>
  </si>
  <si>
    <t>Gas plate</t>
  </si>
  <si>
    <t>Gas kettle (small)</t>
  </si>
  <si>
    <t>Gas two-plater</t>
  </si>
  <si>
    <t>Cutlery set</t>
  </si>
  <si>
    <t>Gas fire starter (rod)</t>
  </si>
  <si>
    <t>Tongs</t>
  </si>
  <si>
    <t>Bodum</t>
  </si>
  <si>
    <t>Braai grid (large)</t>
  </si>
  <si>
    <t>Journey Banner</t>
  </si>
  <si>
    <t>Fire lighter</t>
  </si>
  <si>
    <t>Camping mats</t>
  </si>
  <si>
    <t>Axe</t>
  </si>
  <si>
    <t>Mallet</t>
  </si>
  <si>
    <t>🎯  Activity-Specific Equipment</t>
  </si>
  <si>
    <t>Quantities scale dynamically from Total Participants set in Tab 1.</t>
  </si>
  <si>
    <t xml:space="preserve">  ACTIVITY EQUIPMENT (DYNAMIC QUANTITIES)</t>
  </si>
  <si>
    <t>Scaling Rule</t>
  </si>
  <si>
    <t>Calc. Qty</t>
  </si>
  <si>
    <t>Linked Activity</t>
  </si>
  <si>
    <t>Prop for earth shaking</t>
  </si>
  <si>
    <t>Static</t>
  </si>
  <si>
    <t>1</t>
  </si>
  <si>
    <t>Speaker</t>
  </si>
  <si>
    <t>Projector</t>
  </si>
  <si>
    <t>Downloaded Malachi video</t>
  </si>
  <si>
    <t>Child &amp; dad question cards</t>
  </si>
  <si>
    <t>1 per pair</t>
  </si>
  <si>
    <t>Stokbrood sticks</t>
  </si>
  <si>
    <t>1 per person</t>
  </si>
  <si>
    <t>Tug of war rope</t>
  </si>
  <si>
    <t>Communion cups</t>
  </si>
  <si>
    <t>Claylatt</t>
  </si>
  <si>
    <t>Clay — bag</t>
  </si>
  <si>
    <t>Bivvy's (Shelter)</t>
  </si>
  <si>
    <t>Total ÷ 2</t>
  </si>
  <si>
    <t>Latte short (Shelter)</t>
  </si>
  <si>
    <t>Latte long (Shelter)</t>
  </si>
  <si>
    <t>Guy ropes (Shelter)</t>
  </si>
  <si>
    <t>2 per person</t>
  </si>
  <si>
    <t>Pegs (Shelter)</t>
  </si>
  <si>
    <t>🛒  Food &amp; Catering Shopping List</t>
  </si>
  <si>
    <t>Communal items only. Quantities auto-scale from Tab 1. Each family brings their own dinner &amp; breakfast.</t>
  </si>
  <si>
    <t xml:space="preserve">  COMMUNAL FOOD ITEMS</t>
  </si>
  <si>
    <t>Qty Needed</t>
  </si>
  <si>
    <t>Dough for stokbrood</t>
  </si>
  <si>
    <t>Coffee Instant</t>
  </si>
  <si>
    <t>Coffee Ground</t>
  </si>
  <si>
    <t>Long life milk</t>
  </si>
  <si>
    <t>Sugar</t>
  </si>
  <si>
    <t>1 kg</t>
  </si>
  <si>
    <t>Rusks</t>
  </si>
  <si>
    <t>Braai Brood (stokbrood)</t>
  </si>
  <si>
    <t>Marshmallows</t>
  </si>
  <si>
    <t>Mieliemeal</t>
  </si>
  <si>
    <t>Rooibos tea</t>
  </si>
  <si>
    <t>1 box</t>
  </si>
  <si>
    <t>Ceylon tea</t>
  </si>
  <si>
    <t>Hot chocolate</t>
  </si>
  <si>
    <t>Marie biscuits</t>
  </si>
  <si>
    <t>Tomato sauce</t>
  </si>
  <si>
    <t>2 bottles</t>
  </si>
  <si>
    <t>Syrup</t>
  </si>
  <si>
    <t>1 × 500g</t>
  </si>
  <si>
    <t>Communion juice (Grape)</t>
  </si>
  <si>
    <t>Butro Butter</t>
  </si>
  <si>
    <t>500g</t>
  </si>
  <si>
    <t>Communion loaf</t>
  </si>
  <si>
    <t>1 loaf</t>
  </si>
  <si>
    <t>📖  Activity Playbook &amp; Weather Plan B</t>
  </si>
  <si>
    <t>Detailed facilitator instructions, lead considerations, and Plan B weather contingencies for every activity.</t>
  </si>
  <si>
    <t xml:space="preserve">  FACILITATOR GUIDE &amp; WEATHER CONTINGENCIES</t>
  </si>
  <si>
    <t>Goal / Objective</t>
  </si>
  <si>
    <t>Plan A Instructions &amp; Lead Considerations</t>
  </si>
  <si>
    <t>Plan B Weather Contingency (If Rain / Storm)</t>
  </si>
  <si>
    <t>Break the initial tension and get everyone laughing and connecting.</t>
  </si>
  <si>
    <t>STEPS:
1. Have children introduce their fathers to the group (and vice versa).
2. Play a quick "Name Game" or "Two Truths and a Lie" (Camp Edition).
LEAD CONSIDERATIONS:
• Keep the energy high and fast-paced.
• Ensure every single person feels seen and heard.</t>
  </si>
  <si>
    <t>RAIN PLAN B:
Move activity under the main covered veranda or inside the dining hall. Use indoor circle games if space is limited.</t>
  </si>
  <si>
    <t>Draw fathers and children together through teamwork and physical connection.</t>
  </si>
  <si>
    <t>STEPS:
1. Tie the dad and child together at ankles/wrists with guy rope.
2. Set up obstacle course &amp; dam swim (Lifeguards active on bank).
3. Build clay structures together.
LEAD CONSIDERATIONS:
• Emphasise communication and moving as one unit.
• Lifeguards MUST be stationed at dam edge before anyone enters water.</t>
  </si>
  <si>
    <t>RAIN PLAN B:
Cancel dam swim if lightning/heavy rain. Move clay building under covered veranda. Run an indoor tower-building challenge.</t>
  </si>
  <si>
    <t>Quality, guided conversational time in a relaxed setting.</t>
  </si>
  <si>
    <t>STEPS:
1. Lay out maize meal, dough, stokke, syrup, marshmallows near fire.
2. Hand out printed question cards to each pair.
3. Dads and children cook stokbrood and discuss question cards.
LEAD CONSIDERATIONS:
• Keep fire well-stoked but safe.
• Give families private space around fire.</t>
  </si>
  <si>
    <t>RAIN PLAN B:
Move stokbrood cooking to gas stoves under covered gazebo / braai area. Move conversation cards indoors to main hall with hot chocolate.</t>
  </si>
  <si>
    <t>Lighthearted fun followed by grounding the day's experiences.</t>
  </si>
  <si>
    <t>STEPS:
1. Allow 10-15 mins for groups to prepare a short funny skit.
2. Present carving and summarize key takeaways from Saturday.
LEAD CONSIDERATIONS:
• Set a supportive, cheering tone.
• Transition smoothly into reflective debrief.</t>
  </si>
  <si>
    <t>RAIN PLAN B:
Fully operable indoors inside main hall or large marquee.</t>
  </si>
  <si>
    <t>Spiritual reflection on restoration and the turning of hearts.</t>
  </si>
  <si>
    <t>STEPS:
1. Show downloaded YouTube Malachi scripture video on projector/speaker.
2. Sand Demo: Tray with shaking sand showing how things settle.
LEAD CONSIDERATIONS:
• Visually and emotionally impactful.
• Test tech beforehand.</t>
  </si>
  <si>
    <t>RAIN PLAN B:
Fully operable indoors. Set up projector inside main hall/barn.</t>
  </si>
  <si>
    <t>Spiritual reflection, forgiveness, and partaking in covenant together.</t>
  </si>
  <si>
    <t>STEPS:
1. Provide grape juice and bread loaf to each pair.
2. Read 1 Cor 11:23-26 or Col 3:12-14.
3. Fathers pray a blessing over their children before taking elements.
LEAD CONSIDERATIONS:
• Create quiet, reverent atmosphere.
• Soft instrumental music in background.</t>
  </si>
  <si>
    <t>RAIN PLAN B:
Administer inside main hall or under covered gazebo with soft lanterns/lighting.</t>
  </si>
  <si>
    <t>Personal reflection on Malachi session and Communion.</t>
  </si>
  <si>
    <t>STEPS:
1. Fathers and children sit quietly together or reflect/journal.
LEAD CONSIDERATIONS:
• Clearly define time boundary (15 mins).
• Keep camp quiet.</t>
  </si>
  <si>
    <t>RAIN PLAN B:
Fathers and children sit in quiet corners of covered veranda or hall.</t>
  </si>
  <si>
    <t>Equipping fathers for journey ahead, while children have separate empowering session.</t>
  </si>
  <si>
    <t>STEPS:
1. Split group: Dads in one area, children in another.
2. Lead discussion with dads; Youth Track Leaders run children's session.
LEAD CONSIDERATIONS:
• Encourage vulnerability among dads.</t>
  </si>
  <si>
    <t>RAIN PLAN B:
Split into two separate indoor rooms / covered verandas.</t>
  </si>
  <si>
    <t>A final burst of fun, competitive teamwork before departing.</t>
  </si>
  <si>
    <t>STEPS:
1. Set up tug of war rope in clear flat area.
2. Run heats: Dads vs Dads, Children vs Children, Mixed teams.
3. Optional post-game dam swim (Lifeguards active).
LEAD CONSIDERATIONS:
• Safety first — check ground for slippery spots.
• Lifeguards on bank if dam swim follows.</t>
  </si>
  <si>
    <t>RAIN PLAN B:
If light rain: Mud tug-of-war (huge fun!). If heavy rain/lightning: Cancel dam swim; move indoors for arm wrestling / team strength challenge inside hall.</t>
  </si>
  <si>
    <t>📝  Post-Camp Debrief &amp; Review</t>
  </si>
  <si>
    <t>Structure to review camp execution, leader feedback, and capture action items for the next event.</t>
  </si>
  <si>
    <t xml:space="preserve">  1. OVERALL CAMP EVALUATION SUMMARY</t>
  </si>
  <si>
    <t>Evaluation Metric</t>
  </si>
  <si>
    <t>Score / Rating</t>
  </si>
  <si>
    <t>Key Successes &amp; Highlights</t>
  </si>
  <si>
    <t>Key Challenges &amp; Opportunities</t>
  </si>
  <si>
    <t>Overall Camp Experience</t>
  </si>
  <si>
    <t>5 / 5</t>
  </si>
  <si>
    <t>High engagement, strong spiritual connections made during Malachi session.</t>
  </si>
  <si>
    <t>Timetable ran slightly behind by Saturday evening.</t>
  </si>
  <si>
    <t>Safety &amp; Water Supervision</t>
  </si>
  <si>
    <t>Zero incidents. Lifeguard 1 &amp; 2 maintained clear water boundary during dam swim.</t>
  </si>
  <si>
    <t>Need extra throw rope at secondary swim spot.</t>
  </si>
  <si>
    <t>Logistics &amp; Camp Setup</t>
  </si>
  <si>
    <t>4 / 5</t>
  </si>
  <si>
    <t>Bivvies erected quickly; fire wood supply was plentiful.</t>
  </si>
  <si>
    <t>Gas bottle fitting was tight; bring spare washer.</t>
  </si>
  <si>
    <t>Food &amp; Catering</t>
  </si>
  <si>
    <t>Families enjoyed bringing their own meals; stokbrood was a highlight.</t>
  </si>
  <si>
    <t>Suggest extra milk quantity for cold morning.</t>
  </si>
  <si>
    <t>Spiritual &amp; Emotional Impact</t>
  </si>
  <si>
    <t>Communion and letter reading times were deeply moving for fathers and children.</t>
  </si>
  <si>
    <t>Ensure 15 min buffer before quiet time.</t>
  </si>
  <si>
    <t xml:space="preserve">  2. ACTION ITEMS FOR NEXT CAMP</t>
  </si>
  <si>
    <t>Action Item</t>
  </si>
  <si>
    <t>Priority</t>
  </si>
  <si>
    <t>Owner / Lead</t>
  </si>
  <si>
    <t>Target Completion Date</t>
  </si>
  <si>
    <t>Add laminating step for emergency hospital map in pre-camp checklist</t>
  </si>
  <si>
    <t>High</t>
  </si>
  <si>
    <t>2 weeks before next camp</t>
  </si>
  <si>
    <t>Purchase additional 20m water throw rope for Lifeguard 2 kit</t>
  </si>
  <si>
    <t>1 month before next camp</t>
  </si>
  <si>
    <t>Update stokbrood question cards with 3 new son/daughter specific prompts</t>
  </si>
  <si>
    <t>Medium</t>
  </si>
  <si>
    <t>3 weeks before next camp</t>
  </si>
  <si>
    <t>Create digital RSVP form to auto-feed participant names directly into Tab 1</t>
  </si>
  <si>
    <t>Next camp launch date</t>
  </si>
</sst>
</file>

<file path=xl/styles.xml><?xml version="1.0" encoding="utf-8"?>
<styleSheet xmlns="http://schemas.openxmlformats.org/spreadsheetml/2006/main">
  <numFmts count="2">
    <numFmt numFmtId="164" formatCode="hh:mm AM/PM"/>
    <numFmt numFmtId="165" formatCode="h:mm AM/PM"/>
  </numFmts>
  <fonts count="20">
    <font>
      <sz val="11"/>
      <color theme="1"/>
      <name val="Calibri"/>
      <family val="2"/>
      <scheme val="minor"/>
    </font>
    <font>
      <b/>
      <sz val="22"/>
      <color rgb="FF1B2A4A"/>
      <name val="Calibri"/>
      <family val="2"/>
      <scheme val="minor"/>
    </font>
    <font>
      <i/>
      <sz val="12"/>
      <color rgb="FF3D5A80"/>
      <name val="Calibri"/>
      <family val="2"/>
      <scheme val="minor"/>
    </font>
    <font>
      <b/>
      <sz val="14"/>
      <color rgb="FFFFFFFF"/>
      <name val="Calibri"/>
      <family val="2"/>
      <scheme val="minor"/>
    </font>
    <font>
      <sz val="11"/>
      <color rgb="FF2D2D2D"/>
      <name val="Calibri"/>
      <family val="2"/>
      <scheme val="minor"/>
    </font>
    <font>
      <b/>
      <sz val="11"/>
      <color rgb="FF2D2D2D"/>
      <name val="Calibri"/>
      <family val="2"/>
      <scheme val="minor"/>
    </font>
    <font>
      <b/>
      <sz val="11"/>
      <color rgb="FFFFFFFF"/>
      <name val="Calibri"/>
      <family val="2"/>
      <scheme val="minor"/>
    </font>
    <font>
      <b/>
      <sz val="11"/>
      <color rgb="FF1B2A4A"/>
      <name val="Calibri"/>
      <family val="2"/>
      <scheme val="minor"/>
    </font>
    <font>
      <b/>
      <sz val="11"/>
      <color rgb="FF1A7A6D"/>
      <name val="Calibri"/>
      <family val="2"/>
      <scheme val="minor"/>
    </font>
    <font>
      <i/>
      <sz val="11"/>
      <color rgb="FF5D6D7E"/>
      <name val="Calibri"/>
      <family val="2"/>
      <scheme val="minor"/>
    </font>
    <font>
      <b/>
      <sz val="12"/>
      <color rgb="FF3D5A80"/>
      <name val="Calibri"/>
      <family val="2"/>
      <scheme val="minor"/>
    </font>
    <font>
      <b/>
      <sz val="14"/>
      <color rgb="FF1B2A4A"/>
      <name val="Calibri"/>
      <family val="2"/>
      <scheme val="minor"/>
    </font>
    <font>
      <i/>
      <sz val="11"/>
      <color rgb="FFC0542F"/>
      <name val="Calibri"/>
      <family val="2"/>
      <scheme val="minor"/>
    </font>
    <font>
      <b/>
      <sz val="11"/>
      <color rgb="FFC0542F"/>
      <name val="Calibri"/>
      <family val="2"/>
      <scheme val="minor"/>
    </font>
    <font>
      <b/>
      <sz val="18"/>
      <color rgb="FFFFFFFF"/>
      <name val="Calibri"/>
      <family val="2"/>
      <scheme val="minor"/>
    </font>
    <font>
      <b/>
      <sz val="16"/>
      <color rgb="FFD4A843"/>
      <name val="Calibri"/>
      <family val="2"/>
      <scheme val="minor"/>
    </font>
    <font>
      <b/>
      <sz val="15"/>
      <color rgb="FF1B2A4A"/>
      <name val="Calibri"/>
      <family val="2"/>
      <scheme val="minor"/>
    </font>
    <font>
      <i/>
      <sz val="11"/>
      <color rgb="FF3D5A80"/>
      <name val="Calibri"/>
      <family val="2"/>
      <scheme val="minor"/>
    </font>
    <font>
      <b/>
      <sz val="11"/>
      <color rgb="FF2E7D32"/>
      <name val="Calibri"/>
      <family val="2"/>
      <scheme val="minor"/>
    </font>
    <font>
      <b/>
      <sz val="11"/>
      <color rgb="FFF9A825"/>
      <name val="Calibri"/>
      <family val="2"/>
      <scheme val="minor"/>
    </font>
  </fonts>
  <fills count="11">
    <fill>
      <patternFill patternType="none"/>
    </fill>
    <fill>
      <patternFill patternType="gray125"/>
    </fill>
    <fill>
      <patternFill patternType="solid">
        <fgColor rgb="FF1A7A6D"/>
        <bgColor indexed="64"/>
      </patternFill>
    </fill>
    <fill>
      <patternFill patternType="solid">
        <fgColor rgb="FFFFFDF7"/>
        <bgColor indexed="64"/>
      </patternFill>
    </fill>
    <fill>
      <patternFill patternType="solid">
        <fgColor rgb="FFFFF8E1"/>
        <bgColor indexed="64"/>
      </patternFill>
    </fill>
    <fill>
      <patternFill patternType="solid">
        <fgColor rgb="FF1B2A4A"/>
        <bgColor indexed="64"/>
      </patternFill>
    </fill>
    <fill>
      <patternFill patternType="solid">
        <fgColor rgb="FFF5EFE0"/>
        <bgColor indexed="64"/>
      </patternFill>
    </fill>
    <fill>
      <patternFill patternType="solid">
        <fgColor rgb="FFD4A843"/>
        <bgColor indexed="64"/>
      </patternFill>
    </fill>
    <fill>
      <patternFill patternType="solid">
        <fgColor rgb="FFE0F2F1"/>
        <bgColor indexed="64"/>
      </patternFill>
    </fill>
    <fill>
      <patternFill patternType="solid">
        <fgColor rgb="FFE8E8E8"/>
        <bgColor indexed="64"/>
      </patternFill>
    </fill>
    <fill>
      <patternFill patternType="solid">
        <fgColor rgb="FFC0542F"/>
        <bgColor indexed="64"/>
      </patternFill>
    </fill>
  </fills>
  <borders count="10">
    <border>
      <left/>
      <right/>
      <top/>
      <bottom/>
      <diagonal/>
    </border>
    <border>
      <left/>
      <right/>
      <top/>
      <bottom style="medium">
        <color rgb="FFD4A843"/>
      </bottom>
      <diagonal/>
    </border>
    <border>
      <left style="thin">
        <color rgb="FF1A7A6D"/>
      </left>
      <right style="thin">
        <color rgb="FF1A7A6D"/>
      </right>
      <top style="thin">
        <color rgb="FF1A7A6D"/>
      </top>
      <bottom style="thin">
        <color rgb="FF1A7A6D"/>
      </bottom>
      <diagonal/>
    </border>
    <border>
      <left style="thin">
        <color rgb="FFE8E8E8"/>
      </left>
      <right style="thin">
        <color rgb="FFE8E8E8"/>
      </right>
      <top style="thin">
        <color rgb="FFE8E8E8"/>
      </top>
      <bottom style="thin">
        <color rgb="FFE8E8E8"/>
      </bottom>
      <diagonal/>
    </border>
    <border>
      <left style="thin">
        <color rgb="FFD4A843"/>
      </left>
      <right style="thin">
        <color rgb="FFD4A843"/>
      </right>
      <top style="thin">
        <color rgb="FFD4A843"/>
      </top>
      <bottom style="thin">
        <color rgb="FFD4A843"/>
      </bottom>
      <diagonal/>
    </border>
    <border>
      <left style="thin">
        <color rgb="FF1B2A4A"/>
      </left>
      <right style="thin">
        <color rgb="FF1B2A4A"/>
      </right>
      <top style="thin">
        <color rgb="FF1B2A4A"/>
      </top>
      <bottom style="thin">
        <color rgb="FF1B2A4A"/>
      </bottom>
      <diagonal/>
    </border>
    <border>
      <left style="medium">
        <color rgb="FFD4A843"/>
      </left>
      <right style="medium">
        <color rgb="FFD4A843"/>
      </right>
      <top style="medium">
        <color rgb="FFD4A843"/>
      </top>
      <bottom style="medium">
        <color rgb="FFD4A843"/>
      </bottom>
      <diagonal/>
    </border>
    <border>
      <left/>
      <right/>
      <top/>
      <bottom style="dashed">
        <color rgb="FFD4A843"/>
      </bottom>
      <diagonal/>
    </border>
    <border>
      <left/>
      <right/>
      <top/>
      <bottom style="thin">
        <color rgb="FFE8E8E8"/>
      </bottom>
      <diagonal/>
    </border>
    <border>
      <left style="thin">
        <color rgb="FFC0542F"/>
      </left>
      <right style="thin">
        <color rgb="FFC0542F"/>
      </right>
      <top style="thin">
        <color rgb="FFC0542F"/>
      </top>
      <bottom style="thin">
        <color rgb="FFC0542F"/>
      </bottom>
      <diagonal/>
    </border>
  </borders>
  <cellStyleXfs count="1">
    <xf numFmtId="0" fontId="0" fillId="0" borderId="0"/>
  </cellStyleXfs>
  <cellXfs count="43">
    <xf numFmtId="0" fontId="0" fillId="0" borderId="0" xfId="0"/>
    <xf numFmtId="0" fontId="1" fillId="0" borderId="1" xfId="0" applyFont="1" applyBorder="1" applyAlignment="1">
      <alignment vertical="center"/>
    </xf>
    <xf numFmtId="0" fontId="2" fillId="0" borderId="0" xfId="0" applyFont="1" applyAlignment="1">
      <alignment vertical="center"/>
    </xf>
    <xf numFmtId="0" fontId="3" fillId="2" borderId="2" xfId="0" applyFont="1" applyFill="1" applyBorder="1" applyAlignment="1">
      <alignment horizontal="left" vertical="center"/>
    </xf>
    <xf numFmtId="0" fontId="4" fillId="3" borderId="3" xfId="0" applyFont="1" applyFill="1" applyBorder="1" applyAlignment="1">
      <alignment vertical="center" wrapText="1"/>
    </xf>
    <xf numFmtId="0" fontId="5" fillId="4"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3" xfId="0" applyFont="1" applyFill="1" applyBorder="1" applyAlignment="1">
      <alignment vertical="center" wrapText="1"/>
    </xf>
    <xf numFmtId="0" fontId="7" fillId="7" borderId="4"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5" fillId="3" borderId="3" xfId="0" applyFont="1" applyFill="1" applyBorder="1" applyAlignment="1">
      <alignment vertical="center" wrapText="1"/>
    </xf>
    <xf numFmtId="0" fontId="4" fillId="3" borderId="4" xfId="0" applyFont="1" applyFill="1" applyBorder="1" applyAlignment="1">
      <alignment vertical="center" wrapText="1"/>
    </xf>
    <xf numFmtId="0" fontId="9" fillId="9" borderId="3" xfId="0" applyFont="1" applyFill="1" applyBorder="1" applyAlignment="1">
      <alignment vertical="center" wrapText="1"/>
    </xf>
    <xf numFmtId="0" fontId="5" fillId="6" borderId="3" xfId="0" applyFont="1" applyFill="1" applyBorder="1" applyAlignment="1">
      <alignment vertical="center" wrapText="1"/>
    </xf>
    <xf numFmtId="0" fontId="4" fillId="6" borderId="4" xfId="0" applyFont="1" applyFill="1" applyBorder="1" applyAlignment="1">
      <alignment vertical="center" wrapText="1"/>
    </xf>
    <xf numFmtId="0" fontId="10" fillId="0" borderId="0" xfId="0" applyFont="1" applyAlignment="1">
      <alignment horizontal="right" vertical="center"/>
    </xf>
    <xf numFmtId="164" fontId="11" fillId="4" borderId="6" xfId="0" applyNumberFormat="1" applyFont="1" applyFill="1" applyBorder="1" applyAlignment="1">
      <alignment horizontal="center" vertical="center"/>
    </xf>
    <xf numFmtId="0" fontId="7" fillId="3" borderId="3" xfId="0" applyFont="1" applyFill="1" applyBorder="1" applyAlignment="1">
      <alignment horizontal="center" vertical="center" wrapText="1"/>
    </xf>
    <xf numFmtId="164" fontId="4" fillId="3" borderId="3"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12" fillId="3" borderId="3" xfId="0" applyFont="1" applyFill="1" applyBorder="1" applyAlignment="1">
      <alignment vertical="center" wrapText="1"/>
    </xf>
    <xf numFmtId="0" fontId="7" fillId="6" borderId="3" xfId="0" applyFont="1" applyFill="1" applyBorder="1" applyAlignment="1">
      <alignment horizontal="center" vertical="center" wrapText="1"/>
    </xf>
    <xf numFmtId="164" fontId="4" fillId="6" borderId="3" xfId="0" applyNumberFormat="1" applyFont="1" applyFill="1" applyBorder="1" applyAlignment="1">
      <alignment horizontal="center" vertical="center" wrapText="1"/>
    </xf>
    <xf numFmtId="0" fontId="5" fillId="6" borderId="3" xfId="0" applyFont="1" applyFill="1" applyBorder="1" applyAlignment="1">
      <alignment horizontal="center" vertical="center" wrapText="1"/>
    </xf>
    <xf numFmtId="0" fontId="12" fillId="6" borderId="3" xfId="0" applyFont="1" applyFill="1" applyBorder="1" applyAlignment="1">
      <alignment vertical="center" wrapText="1"/>
    </xf>
    <xf numFmtId="0" fontId="13" fillId="6" borderId="3"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5" borderId="7" xfId="0" applyFont="1" applyFill="1" applyBorder="1" applyAlignment="1">
      <alignment horizontal="center" vertical="center"/>
    </xf>
    <xf numFmtId="0" fontId="14" fillId="10" borderId="7" xfId="0" applyFont="1" applyFill="1" applyBorder="1" applyAlignment="1">
      <alignment horizontal="center" vertical="center"/>
    </xf>
    <xf numFmtId="165" fontId="15" fillId="0" borderId="0" xfId="0" applyNumberFormat="1" applyFont="1" applyAlignment="1">
      <alignment horizontal="right" vertical="center"/>
    </xf>
    <xf numFmtId="0" fontId="16" fillId="0" borderId="0" xfId="0" applyFont="1" applyAlignment="1">
      <alignment vertical="center"/>
    </xf>
    <xf numFmtId="0" fontId="17" fillId="0" borderId="0" xfId="0" applyFont="1" applyAlignment="1">
      <alignment vertical="top"/>
    </xf>
    <xf numFmtId="0" fontId="0" fillId="0" borderId="8" xfId="0" applyBorder="1"/>
    <xf numFmtId="0" fontId="3" fillId="10" borderId="9" xfId="0" applyFont="1" applyFill="1" applyBorder="1" applyAlignment="1">
      <alignment horizontal="left" vertical="center"/>
    </xf>
    <xf numFmtId="0" fontId="8" fillId="3"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18" fillId="3" borderId="3" xfId="0" applyFont="1" applyFill="1" applyBorder="1" applyAlignment="1">
      <alignment vertical="center" wrapText="1"/>
    </xf>
    <xf numFmtId="0" fontId="19" fillId="6" borderId="3" xfId="0" applyFont="1" applyFill="1" applyBorder="1" applyAlignment="1">
      <alignment vertical="center" wrapText="1"/>
    </xf>
    <xf numFmtId="0" fontId="13" fillId="3" borderId="3" xfId="0" applyFont="1" applyFill="1" applyBorder="1" applyAlignment="1">
      <alignment vertical="center" wrapText="1"/>
    </xf>
    <xf numFmtId="0" fontId="7" fillId="3" borderId="3" xfId="0" applyFont="1" applyFill="1" applyBorder="1" applyAlignment="1">
      <alignment vertical="center" wrapText="1"/>
    </xf>
    <xf numFmtId="0" fontId="7" fillId="6" borderId="3" xfId="0" applyFont="1" applyFill="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D4A843"/>
  </sheetPr>
  <dimension ref="A1:G30"/>
  <sheetViews>
    <sheetView showGridLines="0" tabSelected="1" workbookViewId="0"/>
  </sheetViews>
  <sheetFormatPr defaultRowHeight="15"/>
  <cols>
    <col min="1" max="1" width="30.7109375" customWidth="1"/>
    <col min="2" max="2" width="18.7109375" customWidth="1"/>
    <col min="3" max="3" width="4.7109375" customWidth="1"/>
    <col min="4" max="4" width="6.7109375" customWidth="1"/>
    <col min="5" max="5" width="28.7109375" customWidth="1"/>
    <col min="6" max="6" width="24.7109375" customWidth="1"/>
    <col min="7" max="7" width="32.7109375" customWidth="1"/>
  </cols>
  <sheetData>
    <row r="1" spans="1:7" ht="36" customHeight="1">
      <c r="A1" s="1" t="s">
        <v>0</v>
      </c>
    </row>
    <row r="2" spans="1:7" ht="20" customHeight="1">
      <c r="A2" s="2" t="s">
        <v>1</v>
      </c>
    </row>
    <row r="4" spans="1:7" ht="28" customHeight="1">
      <c r="A4" s="3" t="s">
        <v>2</v>
      </c>
      <c r="B4" s="3"/>
      <c r="D4" s="3" t="s">
        <v>10</v>
      </c>
      <c r="E4" s="3"/>
      <c r="F4" s="3"/>
      <c r="G4" s="3"/>
    </row>
    <row r="5" spans="1:7" ht="24" customHeight="1">
      <c r="A5" s="4" t="s">
        <v>3</v>
      </c>
      <c r="B5" s="5" t="s">
        <v>4</v>
      </c>
      <c r="D5" s="6" t="s">
        <v>11</v>
      </c>
      <c r="E5" s="6" t="s">
        <v>12</v>
      </c>
      <c r="F5" s="6" t="s">
        <v>13</v>
      </c>
      <c r="G5" s="6" t="s">
        <v>14</v>
      </c>
    </row>
    <row r="6" spans="1:7" ht="24" customHeight="1">
      <c r="D6" s="7">
        <v>1</v>
      </c>
      <c r="E6" s="4" t="s">
        <v>15</v>
      </c>
      <c r="F6" s="4" t="s">
        <v>16</v>
      </c>
      <c r="G6" s="4" t="s">
        <v>17</v>
      </c>
    </row>
    <row r="7" spans="1:7" ht="24" customHeight="1">
      <c r="A7" s="3" t="s">
        <v>5</v>
      </c>
      <c r="B7" s="3"/>
      <c r="D7" s="8">
        <v>2</v>
      </c>
      <c r="E7" s="9" t="s">
        <v>18</v>
      </c>
      <c r="F7" s="9" t="s">
        <v>19</v>
      </c>
      <c r="G7" s="9" t="s">
        <v>20</v>
      </c>
    </row>
    <row r="8" spans="1:7" ht="24" customHeight="1">
      <c r="A8" s="4" t="s">
        <v>6</v>
      </c>
      <c r="B8" s="5">
        <v>16</v>
      </c>
      <c r="D8" s="7">
        <v>3</v>
      </c>
      <c r="E8" s="4" t="s">
        <v>21</v>
      </c>
      <c r="F8" s="4"/>
      <c r="G8" s="4" t="s">
        <v>22</v>
      </c>
    </row>
    <row r="9" spans="1:7" ht="24" customHeight="1">
      <c r="A9" s="9" t="s">
        <v>7</v>
      </c>
      <c r="B9" s="5">
        <v>16</v>
      </c>
      <c r="D9" s="8">
        <v>4</v>
      </c>
      <c r="E9" s="9" t="s">
        <v>23</v>
      </c>
      <c r="F9" s="9" t="s">
        <v>24</v>
      </c>
      <c r="G9" s="9" t="s">
        <v>25</v>
      </c>
    </row>
    <row r="10" spans="1:7" ht="24" customHeight="1">
      <c r="A10" s="4" t="s">
        <v>8</v>
      </c>
      <c r="B10" s="5">
        <v>11</v>
      </c>
      <c r="D10" s="7">
        <v>5</v>
      </c>
      <c r="E10" s="4" t="s">
        <v>26</v>
      </c>
      <c r="F10" s="4" t="s">
        <v>27</v>
      </c>
      <c r="G10" s="4" t="s">
        <v>28</v>
      </c>
    </row>
    <row r="11" spans="1:7" ht="24" customHeight="1">
      <c r="A11" s="10" t="s">
        <v>9</v>
      </c>
      <c r="B11" s="11">
        <f>SUM(B8:B10)</f>
        <v>0</v>
      </c>
      <c r="D11" s="8">
        <v>6</v>
      </c>
      <c r="E11" s="9" t="s">
        <v>29</v>
      </c>
      <c r="F11" s="9"/>
      <c r="G11" s="9" t="s">
        <v>30</v>
      </c>
    </row>
    <row r="12" spans="1:7" ht="24" customHeight="1">
      <c r="D12" s="7">
        <v>7</v>
      </c>
      <c r="E12" s="4" t="s">
        <v>31</v>
      </c>
      <c r="F12" s="4" t="s">
        <v>32</v>
      </c>
      <c r="G12" s="4" t="s">
        <v>33</v>
      </c>
    </row>
    <row r="13" spans="1:7" ht="24" customHeight="1">
      <c r="D13" s="8">
        <v>8</v>
      </c>
      <c r="E13" s="9" t="s">
        <v>34</v>
      </c>
      <c r="F13" s="9" t="s">
        <v>35</v>
      </c>
      <c r="G13" s="9" t="s">
        <v>36</v>
      </c>
    </row>
    <row r="14" spans="1:7" ht="24" customHeight="1">
      <c r="D14" s="7">
        <v>9</v>
      </c>
      <c r="E14" s="4" t="s">
        <v>37</v>
      </c>
      <c r="F14" s="4"/>
      <c r="G14" s="4" t="s">
        <v>38</v>
      </c>
    </row>
    <row r="15" spans="1:7" ht="24" customHeight="1">
      <c r="D15" s="8">
        <v>10</v>
      </c>
      <c r="E15" s="9" t="s">
        <v>39</v>
      </c>
      <c r="F15" s="9"/>
      <c r="G15" s="9" t="s">
        <v>40</v>
      </c>
    </row>
    <row r="16" spans="1:7" ht="24" customHeight="1">
      <c r="D16" s="7">
        <v>11</v>
      </c>
      <c r="E16" s="4" t="s">
        <v>41</v>
      </c>
      <c r="F16" s="4"/>
      <c r="G16" s="4" t="s">
        <v>42</v>
      </c>
    </row>
    <row r="17" spans="4:7" ht="24" customHeight="1">
      <c r="D17" s="8">
        <v>12</v>
      </c>
      <c r="E17" s="9"/>
      <c r="F17" s="9"/>
      <c r="G17" s="9"/>
    </row>
    <row r="18" spans="4:7" ht="24" customHeight="1">
      <c r="D18" s="7">
        <v>13</v>
      </c>
      <c r="E18" s="4"/>
      <c r="F18" s="4"/>
      <c r="G18" s="4"/>
    </row>
    <row r="19" spans="4:7" ht="24" customHeight="1">
      <c r="D19" s="8">
        <v>14</v>
      </c>
      <c r="E19" s="9"/>
      <c r="F19" s="9"/>
      <c r="G19" s="9"/>
    </row>
    <row r="20" spans="4:7" ht="24" customHeight="1">
      <c r="D20" s="7">
        <v>15</v>
      </c>
      <c r="E20" s="4"/>
      <c r="F20" s="4"/>
      <c r="G20" s="4"/>
    </row>
    <row r="21" spans="4:7" ht="24" customHeight="1">
      <c r="D21" s="8">
        <v>16</v>
      </c>
      <c r="E21" s="9"/>
      <c r="F21" s="9"/>
      <c r="G21" s="9"/>
    </row>
    <row r="22" spans="4:7" ht="24" customHeight="1">
      <c r="D22" s="7">
        <v>17</v>
      </c>
      <c r="E22" s="4"/>
      <c r="F22" s="4"/>
      <c r="G22" s="4"/>
    </row>
    <row r="23" spans="4:7" ht="24" customHeight="1">
      <c r="D23" s="8">
        <v>18</v>
      </c>
      <c r="E23" s="9"/>
      <c r="F23" s="9"/>
      <c r="G23" s="9"/>
    </row>
    <row r="24" spans="4:7" ht="24" customHeight="1">
      <c r="D24" s="7">
        <v>19</v>
      </c>
      <c r="E24" s="4"/>
      <c r="F24" s="4"/>
      <c r="G24" s="4"/>
    </row>
    <row r="25" spans="4:7" ht="24" customHeight="1">
      <c r="D25" s="8">
        <v>20</v>
      </c>
      <c r="E25" s="9"/>
      <c r="F25" s="9"/>
      <c r="G25" s="9"/>
    </row>
    <row r="26" spans="4:7" ht="24" customHeight="1">
      <c r="D26" s="7">
        <v>21</v>
      </c>
      <c r="E26" s="4"/>
      <c r="F26" s="4"/>
      <c r="G26" s="4"/>
    </row>
    <row r="27" spans="4:7" ht="24" customHeight="1">
      <c r="D27" s="8">
        <v>22</v>
      </c>
      <c r="E27" s="9"/>
      <c r="F27" s="9"/>
      <c r="G27" s="9"/>
    </row>
    <row r="28" spans="4:7" ht="24" customHeight="1">
      <c r="D28" s="7">
        <v>23</v>
      </c>
      <c r="E28" s="4"/>
      <c r="F28" s="4"/>
      <c r="G28" s="4"/>
    </row>
    <row r="29" spans="4:7" ht="24" customHeight="1">
      <c r="D29" s="8">
        <v>24</v>
      </c>
      <c r="E29" s="9"/>
      <c r="F29" s="9"/>
      <c r="G29" s="9"/>
    </row>
    <row r="30" spans="4:7" ht="24" customHeight="1">
      <c r="D30" s="7">
        <v>25</v>
      </c>
      <c r="E30" s="4"/>
      <c r="F30" s="4"/>
      <c r="G30" s="4"/>
    </row>
  </sheetData>
  <mergeCells count="3">
    <mergeCell ref="A4:B4"/>
    <mergeCell ref="A7:B7"/>
    <mergeCell ref="D4:G4"/>
  </mergeCells>
  <dataValidations count="1">
    <dataValidation type="list" showInputMessage="1" showErrorMessage="1" sqref="B5">
      <formula1>"Father &amp; Daughter Camp,Father &amp; Son Camp"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B2A4A"/>
  </sheetPr>
  <dimension ref="A1:E18"/>
  <sheetViews>
    <sheetView showGridLines="0" workbookViewId="0"/>
  </sheetViews>
  <sheetFormatPr defaultRowHeight="15"/>
  <cols>
    <col min="1" max="1" width="28.7109375" customWidth="1"/>
    <col min="2" max="2" width="65.7109375" customWidth="1"/>
    <col min="3" max="3" width="26.7109375" customWidth="1"/>
    <col min="4" max="4" width="20.7109375" customWidth="1"/>
    <col min="5" max="5" width="28.7109375" customWidth="1"/>
  </cols>
  <sheetData>
    <row r="1" spans="1:5" ht="36" customHeight="1">
      <c r="A1" s="1" t="s">
        <v>43</v>
      </c>
    </row>
    <row r="2" spans="1:5" ht="20" customHeight="1">
      <c r="A2" s="2" t="s">
        <v>44</v>
      </c>
    </row>
    <row r="4" spans="1:5" ht="28" customHeight="1">
      <c r="A4" s="3" t="s">
        <v>45</v>
      </c>
      <c r="B4" s="3"/>
      <c r="C4" s="3"/>
      <c r="D4" s="3"/>
      <c r="E4" s="3"/>
    </row>
    <row r="5" spans="1:5" ht="26" customHeight="1">
      <c r="A5" s="6" t="s">
        <v>46</v>
      </c>
      <c r="B5" s="6" t="s">
        <v>47</v>
      </c>
      <c r="C5" s="6" t="s">
        <v>48</v>
      </c>
      <c r="D5" s="6" t="s">
        <v>49</v>
      </c>
      <c r="E5" s="6" t="s">
        <v>50</v>
      </c>
    </row>
    <row r="6" spans="1:5" ht="65" customHeight="1">
      <c r="A6" s="12" t="s">
        <v>51</v>
      </c>
      <c r="B6" s="4" t="s">
        <v>52</v>
      </c>
      <c r="C6" s="13" t="s">
        <v>15</v>
      </c>
      <c r="D6" s="14">
        <f>IFERROR(VLOOKUP(C6,'1. Settings &amp; Leaders'!$E$6:$G$30,2,FALSE),"")</f>
        <v>0</v>
      </c>
      <c r="E6" s="14">
        <f>IFERROR(VLOOKUP(C6,'1. Settings &amp; Leaders'!$E$6:$G$30,3,FALSE),"")</f>
        <v>0</v>
      </c>
    </row>
    <row r="7" spans="1:5" ht="65" customHeight="1">
      <c r="A7" s="15" t="s">
        <v>53</v>
      </c>
      <c r="B7" s="9" t="s">
        <v>54</v>
      </c>
      <c r="C7" s="16" t="s">
        <v>18</v>
      </c>
      <c r="D7" s="14">
        <f>IFERROR(VLOOKUP(C7,'1. Settings &amp; Leaders'!$E$6:$G$30,2,FALSE),"")</f>
        <v>0</v>
      </c>
      <c r="E7" s="14">
        <f>IFERROR(VLOOKUP(C7,'1. Settings &amp; Leaders'!$E$6:$G$30,3,FALSE),"")</f>
        <v>0</v>
      </c>
    </row>
    <row r="8" spans="1:5" ht="65" customHeight="1">
      <c r="A8" s="12" t="s">
        <v>55</v>
      </c>
      <c r="B8" s="4" t="s">
        <v>56</v>
      </c>
      <c r="C8" s="13" t="s">
        <v>21</v>
      </c>
      <c r="D8" s="14">
        <f>IFERROR(VLOOKUP(C8,'1. Settings &amp; Leaders'!$E$6:$G$30,2,FALSE),"")</f>
        <v>0</v>
      </c>
      <c r="E8" s="14">
        <f>IFERROR(VLOOKUP(C8,'1. Settings &amp; Leaders'!$E$6:$G$30,3,FALSE),"")</f>
        <v>0</v>
      </c>
    </row>
    <row r="9" spans="1:5" ht="65" customHeight="1">
      <c r="A9" s="15" t="s">
        <v>57</v>
      </c>
      <c r="B9" s="9" t="s">
        <v>58</v>
      </c>
      <c r="C9" s="16" t="s">
        <v>23</v>
      </c>
      <c r="D9" s="14">
        <f>IFERROR(VLOOKUP(C9,'1. Settings &amp; Leaders'!$E$6:$G$30,2,FALSE),"")</f>
        <v>0</v>
      </c>
      <c r="E9" s="14">
        <f>IFERROR(VLOOKUP(C9,'1. Settings &amp; Leaders'!$E$6:$G$30,3,FALSE),"")</f>
        <v>0</v>
      </c>
    </row>
    <row r="10" spans="1:5" ht="65" customHeight="1">
      <c r="A10" s="12" t="s">
        <v>59</v>
      </c>
      <c r="B10" s="4" t="s">
        <v>60</v>
      </c>
      <c r="C10" s="13" t="s">
        <v>26</v>
      </c>
      <c r="D10" s="14">
        <f>IFERROR(VLOOKUP(C10,'1. Settings &amp; Leaders'!$E$6:$G$30,2,FALSE),"")</f>
        <v>0</v>
      </c>
      <c r="E10" s="14">
        <f>IFERROR(VLOOKUP(C10,'1. Settings &amp; Leaders'!$E$6:$G$30,3,FALSE),"")</f>
        <v>0</v>
      </c>
    </row>
    <row r="11" spans="1:5" ht="65" customHeight="1">
      <c r="A11" s="15" t="s">
        <v>61</v>
      </c>
      <c r="B11" s="9" t="s">
        <v>62</v>
      </c>
      <c r="C11" s="16" t="s">
        <v>29</v>
      </c>
      <c r="D11" s="14">
        <f>IFERROR(VLOOKUP(C11,'1. Settings &amp; Leaders'!$E$6:$G$30,2,FALSE),"")</f>
        <v>0</v>
      </c>
      <c r="E11" s="14">
        <f>IFERROR(VLOOKUP(C11,'1. Settings &amp; Leaders'!$E$6:$G$30,3,FALSE),"")</f>
        <v>0</v>
      </c>
    </row>
    <row r="12" spans="1:5" ht="65" customHeight="1">
      <c r="A12" s="12" t="s">
        <v>63</v>
      </c>
      <c r="B12" s="4" t="s">
        <v>64</v>
      </c>
      <c r="C12" s="13" t="s">
        <v>31</v>
      </c>
      <c r="D12" s="14">
        <f>IFERROR(VLOOKUP(C12,'1. Settings &amp; Leaders'!$E$6:$G$30,2,FALSE),"")</f>
        <v>0</v>
      </c>
      <c r="E12" s="14">
        <f>IFERROR(VLOOKUP(C12,'1. Settings &amp; Leaders'!$E$6:$G$30,3,FALSE),"")</f>
        <v>0</v>
      </c>
    </row>
    <row r="13" spans="1:5" ht="65" customHeight="1">
      <c r="A13" s="15" t="s">
        <v>65</v>
      </c>
      <c r="B13" s="9" t="s">
        <v>66</v>
      </c>
      <c r="C13" s="16" t="s">
        <v>34</v>
      </c>
      <c r="D13" s="14">
        <f>IFERROR(VLOOKUP(C13,'1. Settings &amp; Leaders'!$E$6:$G$30,2,FALSE),"")</f>
        <v>0</v>
      </c>
      <c r="E13" s="14">
        <f>IFERROR(VLOOKUP(C13,'1. Settings &amp; Leaders'!$E$6:$G$30,3,FALSE),"")</f>
        <v>0</v>
      </c>
    </row>
    <row r="14" spans="1:5" ht="65" customHeight="1">
      <c r="A14" s="12" t="s">
        <v>67</v>
      </c>
      <c r="B14" s="4" t="s">
        <v>68</v>
      </c>
      <c r="C14" s="13" t="s">
        <v>39</v>
      </c>
      <c r="D14" s="14">
        <f>IFERROR(VLOOKUP(C14,'1. Settings &amp; Leaders'!$E$6:$G$30,2,FALSE),"")</f>
        <v>0</v>
      </c>
      <c r="E14" s="14">
        <f>IFERROR(VLOOKUP(C14,'1. Settings &amp; Leaders'!$E$6:$G$30,3,FALSE),"")</f>
        <v>0</v>
      </c>
    </row>
    <row r="15" spans="1:5" ht="65" customHeight="1">
      <c r="A15" s="15" t="s">
        <v>69</v>
      </c>
      <c r="B15" s="9" t="s">
        <v>68</v>
      </c>
      <c r="C15" s="16" t="s">
        <v>41</v>
      </c>
      <c r="D15" s="14">
        <f>IFERROR(VLOOKUP(C15,'1. Settings &amp; Leaders'!$E$6:$G$30,2,FALSE),"")</f>
        <v>0</v>
      </c>
      <c r="E15" s="14">
        <f>IFERROR(VLOOKUP(C15,'1. Settings &amp; Leaders'!$E$6:$G$30,3,FALSE),"")</f>
        <v>0</v>
      </c>
    </row>
    <row r="16" spans="1:5" ht="65" customHeight="1">
      <c r="A16" s="12" t="s">
        <v>70</v>
      </c>
      <c r="B16" s="4" t="s">
        <v>71</v>
      </c>
      <c r="C16" s="13" t="s">
        <v>31</v>
      </c>
      <c r="D16" s="14">
        <f>IFERROR(VLOOKUP(C16,'1. Settings &amp; Leaders'!$E$6:$G$30,2,FALSE),"")</f>
        <v>0</v>
      </c>
      <c r="E16" s="14">
        <f>IFERROR(VLOOKUP(C16,'1. Settings &amp; Leaders'!$E$6:$G$30,3,FALSE),"")</f>
        <v>0</v>
      </c>
    </row>
    <row r="17" spans="1:5" ht="65" customHeight="1">
      <c r="A17" s="15" t="s">
        <v>72</v>
      </c>
      <c r="B17" s="9" t="s">
        <v>73</v>
      </c>
      <c r="C17" s="16" t="s">
        <v>34</v>
      </c>
      <c r="D17" s="14">
        <f>IFERROR(VLOOKUP(C17,'1. Settings &amp; Leaders'!$E$6:$G$30,2,FALSE),"")</f>
        <v>0</v>
      </c>
      <c r="E17" s="14">
        <f>IFERROR(VLOOKUP(C17,'1. Settings &amp; Leaders'!$E$6:$G$30,3,FALSE),"")</f>
        <v>0</v>
      </c>
    </row>
    <row r="18" spans="1:5" ht="65" customHeight="1">
      <c r="A18" s="12" t="s">
        <v>74</v>
      </c>
      <c r="B18" s="4" t="s">
        <v>75</v>
      </c>
      <c r="C18" s="13" t="s">
        <v>37</v>
      </c>
      <c r="D18" s="14">
        <f>IFERROR(VLOOKUP(C18,'1. Settings &amp; Leaders'!$E$6:$G$30,2,FALSE),"")</f>
        <v>0</v>
      </c>
      <c r="E18" s="14">
        <f>IFERROR(VLOOKUP(C18,'1. Settings &amp; Leaders'!$E$6:$G$30,3,FALSE),"")</f>
        <v>0</v>
      </c>
    </row>
  </sheetData>
  <mergeCells count="1">
    <mergeCell ref="A4:E4"/>
  </mergeCells>
  <dataValidations count="13">
    <dataValidation type="list" allowBlank="1" showInputMessage="1" sqref="C6">
      <formula1>'1. Settings &amp; Leaders'!$E$6:$E$30</formula1>
    </dataValidation>
    <dataValidation type="list" allowBlank="1" showInputMessage="1" sqref="C7">
      <formula1>'1. Settings &amp; Leaders'!$E$6:$E$30</formula1>
    </dataValidation>
    <dataValidation type="list" allowBlank="1" showInputMessage="1" sqref="C8">
      <formula1>'1. Settings &amp; Leaders'!$E$6:$E$30</formula1>
    </dataValidation>
    <dataValidation type="list" allowBlank="1" showInputMessage="1" sqref="C9">
      <formula1>'1. Settings &amp; Leaders'!$E$6:$E$30</formula1>
    </dataValidation>
    <dataValidation type="list" allowBlank="1" showInputMessage="1" sqref="C10">
      <formula1>'1. Settings &amp; Leaders'!$E$6:$E$30</formula1>
    </dataValidation>
    <dataValidation type="list" allowBlank="1" showInputMessage="1" sqref="C11">
      <formula1>'1. Settings &amp; Leaders'!$E$6:$E$30</formula1>
    </dataValidation>
    <dataValidation type="list" allowBlank="1" showInputMessage="1" sqref="C12">
      <formula1>'1. Settings &amp; Leaders'!$E$6:$E$30</formula1>
    </dataValidation>
    <dataValidation type="list" allowBlank="1" showInputMessage="1" sqref="C13">
      <formula1>'1. Settings &amp; Leaders'!$E$6:$E$30</formula1>
    </dataValidation>
    <dataValidation type="list" allowBlank="1" showInputMessage="1" sqref="C14">
      <formula1>'1. Settings &amp; Leaders'!$E$6:$E$30</formula1>
    </dataValidation>
    <dataValidation type="list" allowBlank="1" showInputMessage="1" sqref="C15">
      <formula1>'1. Settings &amp; Leaders'!$E$6:$E$30</formula1>
    </dataValidation>
    <dataValidation type="list" allowBlank="1" showInputMessage="1" sqref="C16">
      <formula1>'1. Settings &amp; Leaders'!$E$6:$E$30</formula1>
    </dataValidation>
    <dataValidation type="list" allowBlank="1" showInputMessage="1" sqref="C17">
      <formula1>'1. Settings &amp; Leaders'!$E$6:$E$30</formula1>
    </dataValidation>
    <dataValidation type="list" allowBlank="1" showInputMessage="1" sqref="C18">
      <formula1>'1. Settings &amp; Leaders'!$E$6:$E$30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3D5A80"/>
  </sheetPr>
  <dimension ref="A1:I26"/>
  <sheetViews>
    <sheetView showGridLines="0" workbookViewId="0"/>
  </sheetViews>
  <sheetFormatPr defaultRowHeight="15"/>
  <cols>
    <col min="1" max="1" width="12.7109375" customWidth="1"/>
    <col min="2" max="3" width="15.7109375" customWidth="1"/>
    <col min="4" max="4" width="14.7109375" customWidth="1"/>
    <col min="5" max="5" width="22.7109375" customWidth="1"/>
    <col min="6" max="6" width="40.7109375" customWidth="1"/>
    <col min="7" max="7" width="22.7109375" customWidth="1"/>
    <col min="8" max="8" width="40.7109375" customWidth="1"/>
    <col min="9" max="9" width="14.7109375" customWidth="1"/>
  </cols>
  <sheetData>
    <row r="1" spans="1:9" ht="36" customHeight="1">
      <c r="A1" s="1" t="s">
        <v>76</v>
      </c>
    </row>
    <row r="2" spans="1:9" ht="20" customHeight="1">
      <c r="A2" s="2" t="s">
        <v>77</v>
      </c>
    </row>
    <row r="4" spans="1:9" ht="32" customHeight="1">
      <c r="B4" s="17" t="s">
        <v>78</v>
      </c>
      <c r="C4" s="18">
        <v>0.625</v>
      </c>
    </row>
    <row r="6" spans="1:9" ht="4" customHeight="1"/>
    <row r="7" spans="1:9" ht="26" customHeight="1">
      <c r="A7" s="6" t="s">
        <v>79</v>
      </c>
      <c r="B7" s="6" t="s">
        <v>80</v>
      </c>
      <c r="C7" s="6" t="s">
        <v>81</v>
      </c>
      <c r="D7" s="6" t="s">
        <v>82</v>
      </c>
      <c r="E7" s="6" t="s">
        <v>83</v>
      </c>
      <c r="F7" s="6" t="s">
        <v>84</v>
      </c>
      <c r="G7" s="6" t="s">
        <v>85</v>
      </c>
      <c r="H7" s="6" t="s">
        <v>86</v>
      </c>
      <c r="I7" s="6" t="s">
        <v>87</v>
      </c>
    </row>
    <row r="8" spans="1:9" ht="36" customHeight="1">
      <c r="A8" s="19" t="s">
        <v>88</v>
      </c>
      <c r="B8" s="20">
        <f>$C$4</f>
        <v>0</v>
      </c>
      <c r="C8" s="20">
        <f>B8+(D8/1440)</f>
        <v>0</v>
      </c>
      <c r="D8" s="21">
        <v>30</v>
      </c>
      <c r="E8" s="12" t="s">
        <v>89</v>
      </c>
      <c r="F8" s="4" t="s">
        <v>90</v>
      </c>
      <c r="G8" s="13" t="s">
        <v>61</v>
      </c>
      <c r="H8" s="22" t="s">
        <v>91</v>
      </c>
      <c r="I8" s="14" t="s">
        <v>89</v>
      </c>
    </row>
    <row r="9" spans="1:9" ht="36" customHeight="1">
      <c r="A9" s="23" t="s">
        <v>88</v>
      </c>
      <c r="B9" s="24">
        <f>C8</f>
        <v>0</v>
      </c>
      <c r="C9" s="24">
        <f>B9+(D9/1440)</f>
        <v>0</v>
      </c>
      <c r="D9" s="25">
        <v>30</v>
      </c>
      <c r="E9" s="15" t="s">
        <v>92</v>
      </c>
      <c r="F9" s="9" t="s">
        <v>93</v>
      </c>
      <c r="G9" s="16" t="s">
        <v>57</v>
      </c>
      <c r="H9" s="26" t="s">
        <v>94</v>
      </c>
      <c r="I9" s="14" t="s">
        <v>92</v>
      </c>
    </row>
    <row r="10" spans="1:9" ht="36" customHeight="1">
      <c r="A10" s="19" t="s">
        <v>88</v>
      </c>
      <c r="B10" s="20">
        <f>C9</f>
        <v>0</v>
      </c>
      <c r="C10" s="20">
        <f>B10+(D10/1440)</f>
        <v>0</v>
      </c>
      <c r="D10" s="21">
        <v>90</v>
      </c>
      <c r="E10" s="12" t="s">
        <v>95</v>
      </c>
      <c r="F10" s="4" t="s">
        <v>96</v>
      </c>
      <c r="G10" s="13" t="s">
        <v>97</v>
      </c>
      <c r="H10" s="22" t="s">
        <v>98</v>
      </c>
      <c r="I10" s="14" t="s">
        <v>83</v>
      </c>
    </row>
    <row r="11" spans="1:9" ht="36" customHeight="1">
      <c r="A11" s="23" t="s">
        <v>88</v>
      </c>
      <c r="B11" s="24">
        <f>C10</f>
        <v>0</v>
      </c>
      <c r="C11" s="24">
        <f>B11+(D11/1440)</f>
        <v>0</v>
      </c>
      <c r="D11" s="25">
        <v>90</v>
      </c>
      <c r="E11" s="15" t="s">
        <v>99</v>
      </c>
      <c r="F11" s="9" t="s">
        <v>100</v>
      </c>
      <c r="G11" s="16" t="s">
        <v>53</v>
      </c>
      <c r="H11" s="26" t="s">
        <v>101</v>
      </c>
      <c r="I11" s="14" t="s">
        <v>102</v>
      </c>
    </row>
    <row r="12" spans="1:9" ht="36" customHeight="1">
      <c r="A12" s="19" t="s">
        <v>88</v>
      </c>
      <c r="B12" s="20">
        <f>C11</f>
        <v>0</v>
      </c>
      <c r="C12" s="20">
        <f>B12+(D12/1440)</f>
        <v>0</v>
      </c>
      <c r="D12" s="21">
        <v>60</v>
      </c>
      <c r="E12" s="12" t="s">
        <v>103</v>
      </c>
      <c r="F12" s="4" t="s">
        <v>104</v>
      </c>
      <c r="G12" s="13" t="s">
        <v>59</v>
      </c>
      <c r="H12" s="22" t="s">
        <v>105</v>
      </c>
      <c r="I12" s="14" t="s">
        <v>103</v>
      </c>
    </row>
    <row r="13" spans="1:9" ht="36" customHeight="1">
      <c r="A13" s="23" t="s">
        <v>88</v>
      </c>
      <c r="B13" s="24">
        <f>C12</f>
        <v>0</v>
      </c>
      <c r="C13" s="24">
        <f>B13+(D13/1440)</f>
        <v>0</v>
      </c>
      <c r="D13" s="25">
        <v>30</v>
      </c>
      <c r="E13" s="15" t="s">
        <v>106</v>
      </c>
      <c r="F13" s="9" t="s">
        <v>107</v>
      </c>
      <c r="G13" s="16" t="s">
        <v>51</v>
      </c>
      <c r="H13" s="26" t="s">
        <v>108</v>
      </c>
      <c r="I13" s="14" t="s">
        <v>106</v>
      </c>
    </row>
    <row r="14" spans="1:9" ht="36" customHeight="1">
      <c r="A14" s="19" t="s">
        <v>88</v>
      </c>
      <c r="B14" s="20">
        <f>C13</f>
        <v>0</v>
      </c>
      <c r="C14" s="20">
        <f>B14+(D14/1440)</f>
        <v>0</v>
      </c>
      <c r="D14" s="21">
        <v>60</v>
      </c>
      <c r="E14" s="12" t="s">
        <v>109</v>
      </c>
      <c r="F14" s="4" t="s">
        <v>110</v>
      </c>
      <c r="G14" s="13" t="s">
        <v>55</v>
      </c>
      <c r="H14" s="22" t="s">
        <v>111</v>
      </c>
      <c r="I14" s="14" t="s">
        <v>112</v>
      </c>
    </row>
    <row r="15" spans="1:9" ht="36" customHeight="1">
      <c r="A15" s="23" t="s">
        <v>88</v>
      </c>
      <c r="B15" s="24">
        <f>C14</f>
        <v>0</v>
      </c>
      <c r="C15" s="24">
        <f>B15+(D15/1440)</f>
        <v>0</v>
      </c>
      <c r="D15" s="25">
        <v>60</v>
      </c>
      <c r="E15" s="15" t="s">
        <v>113</v>
      </c>
      <c r="F15" s="9" t="s">
        <v>114</v>
      </c>
      <c r="G15" s="16" t="s">
        <v>51</v>
      </c>
      <c r="H15" s="26" t="s">
        <v>115</v>
      </c>
      <c r="I15" s="14" t="s">
        <v>116</v>
      </c>
    </row>
    <row r="16" spans="1:9" ht="36" customHeight="1">
      <c r="A16" s="19" t="s">
        <v>88</v>
      </c>
      <c r="B16" s="20">
        <f>C15</f>
        <v>0</v>
      </c>
      <c r="C16" s="20">
        <f>B16+(D16/1440)</f>
        <v>0</v>
      </c>
      <c r="D16" s="21">
        <v>0</v>
      </c>
      <c r="E16" s="12" t="s">
        <v>117</v>
      </c>
      <c r="F16" s="4" t="s">
        <v>118</v>
      </c>
      <c r="G16" s="13" t="s">
        <v>51</v>
      </c>
      <c r="H16" s="22" t="s">
        <v>119</v>
      </c>
      <c r="I16" s="14" t="s">
        <v>120</v>
      </c>
    </row>
    <row r="17" spans="1:9" ht="36" customHeight="1">
      <c r="A17" s="27" t="s">
        <v>121</v>
      </c>
      <c r="B17" s="24">
        <f>C16</f>
        <v>0</v>
      </c>
      <c r="C17" s="24">
        <f>B17+(D17/1440)</f>
        <v>0</v>
      </c>
      <c r="D17" s="25">
        <v>45</v>
      </c>
      <c r="E17" s="15" t="s">
        <v>122</v>
      </c>
      <c r="F17" s="9" t="s">
        <v>123</v>
      </c>
      <c r="G17" s="16" t="s">
        <v>124</v>
      </c>
      <c r="H17" s="26" t="s">
        <v>125</v>
      </c>
      <c r="I17" s="14" t="s">
        <v>126</v>
      </c>
    </row>
    <row r="18" spans="1:9" ht="36" customHeight="1">
      <c r="A18" s="28" t="s">
        <v>121</v>
      </c>
      <c r="B18" s="20">
        <f>C17</f>
        <v>0</v>
      </c>
      <c r="C18" s="20">
        <f>B18+(D18/1440)</f>
        <v>0</v>
      </c>
      <c r="D18" s="21">
        <v>90</v>
      </c>
      <c r="E18" s="12" t="s">
        <v>127</v>
      </c>
      <c r="F18" s="4" t="s">
        <v>128</v>
      </c>
      <c r="G18" s="13" t="s">
        <v>55</v>
      </c>
      <c r="H18" s="22" t="s">
        <v>129</v>
      </c>
      <c r="I18" s="14" t="s">
        <v>130</v>
      </c>
    </row>
    <row r="19" spans="1:9" ht="36" customHeight="1">
      <c r="A19" s="27" t="s">
        <v>121</v>
      </c>
      <c r="B19" s="24">
        <f>C18</f>
        <v>0</v>
      </c>
      <c r="C19" s="24">
        <f>B19+(D19/1440)</f>
        <v>0</v>
      </c>
      <c r="D19" s="25">
        <v>30</v>
      </c>
      <c r="E19" s="15" t="s">
        <v>131</v>
      </c>
      <c r="F19" s="9" t="s">
        <v>132</v>
      </c>
      <c r="G19" s="16" t="s">
        <v>74</v>
      </c>
      <c r="H19" s="26" t="s">
        <v>133</v>
      </c>
      <c r="I19" s="14" t="s">
        <v>131</v>
      </c>
    </row>
    <row r="20" spans="1:9" ht="36" customHeight="1">
      <c r="A20" s="28" t="s">
        <v>121</v>
      </c>
      <c r="B20" s="20">
        <f>C19</f>
        <v>0</v>
      </c>
      <c r="C20" s="20">
        <f>B20+(D20/1440)</f>
        <v>0</v>
      </c>
      <c r="D20" s="21">
        <v>15</v>
      </c>
      <c r="E20" s="12" t="s">
        <v>134</v>
      </c>
      <c r="F20" s="4" t="s">
        <v>135</v>
      </c>
      <c r="G20" s="13" t="s">
        <v>51</v>
      </c>
      <c r="H20" s="22" t="s">
        <v>136</v>
      </c>
      <c r="I20" s="14" t="s">
        <v>137</v>
      </c>
    </row>
    <row r="21" spans="1:9" ht="36" customHeight="1">
      <c r="A21" s="27" t="s">
        <v>121</v>
      </c>
      <c r="B21" s="24">
        <f>C20</f>
        <v>0</v>
      </c>
      <c r="C21" s="24">
        <f>B21+(D21/1440)</f>
        <v>0</v>
      </c>
      <c r="D21" s="25">
        <v>60</v>
      </c>
      <c r="E21" s="15" t="s">
        <v>138</v>
      </c>
      <c r="F21" s="9" t="s">
        <v>139</v>
      </c>
      <c r="G21" s="16" t="s">
        <v>59</v>
      </c>
      <c r="H21" s="26" t="s">
        <v>140</v>
      </c>
      <c r="I21" s="14" t="s">
        <v>138</v>
      </c>
    </row>
    <row r="22" spans="1:9" ht="36" customHeight="1">
      <c r="A22" s="28" t="s">
        <v>121</v>
      </c>
      <c r="B22" s="20">
        <f>C21</f>
        <v>0</v>
      </c>
      <c r="C22" s="20">
        <f>B22+(D22/1440)</f>
        <v>0</v>
      </c>
      <c r="D22" s="21">
        <v>60</v>
      </c>
      <c r="E22" s="12" t="s">
        <v>141</v>
      </c>
      <c r="F22" s="4" t="s">
        <v>142</v>
      </c>
      <c r="G22" s="13" t="s">
        <v>55</v>
      </c>
      <c r="H22" s="22" t="s">
        <v>143</v>
      </c>
      <c r="I22" s="14" t="s">
        <v>144</v>
      </c>
    </row>
    <row r="23" spans="1:9" ht="36" customHeight="1">
      <c r="A23" s="27" t="s">
        <v>121</v>
      </c>
      <c r="B23" s="24">
        <f>C22</f>
        <v>0</v>
      </c>
      <c r="C23" s="24">
        <f>B23+(D23/1440)</f>
        <v>0</v>
      </c>
      <c r="D23" s="25">
        <v>15</v>
      </c>
      <c r="E23" s="15" t="s">
        <v>145</v>
      </c>
      <c r="F23" s="9" t="s">
        <v>146</v>
      </c>
      <c r="G23" s="16" t="s">
        <v>51</v>
      </c>
      <c r="H23" s="26" t="s">
        <v>147</v>
      </c>
      <c r="I23" s="14" t="s">
        <v>148</v>
      </c>
    </row>
    <row r="24" spans="1:9" ht="36" customHeight="1">
      <c r="A24" s="28" t="s">
        <v>121</v>
      </c>
      <c r="B24" s="20">
        <f>C23</f>
        <v>0</v>
      </c>
      <c r="C24" s="20">
        <f>B24+(D24/1440)</f>
        <v>0</v>
      </c>
      <c r="D24" s="21">
        <v>60</v>
      </c>
      <c r="E24" s="12" t="s">
        <v>149</v>
      </c>
      <c r="F24" s="4" t="s">
        <v>150</v>
      </c>
      <c r="G24" s="13" t="s">
        <v>53</v>
      </c>
      <c r="H24" s="22" t="s">
        <v>151</v>
      </c>
      <c r="I24" s="14" t="s">
        <v>149</v>
      </c>
    </row>
    <row r="25" spans="1:9" ht="36" customHeight="1">
      <c r="A25" s="27" t="s">
        <v>121</v>
      </c>
      <c r="B25" s="24">
        <f>C24</f>
        <v>0</v>
      </c>
      <c r="C25" s="24">
        <f>B25+(D25/1440)</f>
        <v>0</v>
      </c>
      <c r="D25" s="25">
        <v>45</v>
      </c>
      <c r="E25" s="15" t="s">
        <v>152</v>
      </c>
      <c r="F25" s="9" t="s">
        <v>153</v>
      </c>
      <c r="G25" s="16" t="s">
        <v>97</v>
      </c>
      <c r="H25" s="26" t="s">
        <v>154</v>
      </c>
      <c r="I25" s="14" t="s">
        <v>83</v>
      </c>
    </row>
    <row r="26" spans="1:9" ht="36" customHeight="1">
      <c r="A26" s="28" t="s">
        <v>121</v>
      </c>
      <c r="B26" s="20">
        <f>C25</f>
        <v>0</v>
      </c>
      <c r="C26" s="20">
        <f>B26+(D26/1440)</f>
        <v>0</v>
      </c>
      <c r="D26" s="21">
        <v>0</v>
      </c>
      <c r="E26" s="12" t="s">
        <v>155</v>
      </c>
      <c r="F26" s="4" t="s">
        <v>156</v>
      </c>
      <c r="G26" s="13" t="s">
        <v>61</v>
      </c>
      <c r="H26" s="22" t="s">
        <v>157</v>
      </c>
      <c r="I26" s="14" t="s">
        <v>155</v>
      </c>
    </row>
  </sheetData>
  <dataValidations count="19">
    <dataValidation type="list" allowBlank="1" showInputMessage="1" sqref="G8">
      <formula1>'2. Roster &amp; Roles'!$A$6:$A$25</formula1>
    </dataValidation>
    <dataValidation type="list" allowBlank="1" showInputMessage="1" sqref="G9">
      <formula1>'2. Roster &amp; Roles'!$A$6:$A$25</formula1>
    </dataValidation>
    <dataValidation type="list" allowBlank="1" showInputMessage="1" sqref="G10">
      <formula1>'2. Roster &amp; Roles'!$A$6:$A$25</formula1>
    </dataValidation>
    <dataValidation type="list" allowBlank="1" showInputMessage="1" sqref="G11">
      <formula1>'2. Roster &amp; Roles'!$A$6:$A$25</formula1>
    </dataValidation>
    <dataValidation type="list" allowBlank="1" showInputMessage="1" sqref="G12">
      <formula1>'2. Roster &amp; Roles'!$A$6:$A$25</formula1>
    </dataValidation>
    <dataValidation type="list" allowBlank="1" showInputMessage="1" sqref="G13">
      <formula1>'2. Roster &amp; Roles'!$A$6:$A$25</formula1>
    </dataValidation>
    <dataValidation type="list" allowBlank="1" showInputMessage="1" sqref="G14">
      <formula1>'2. Roster &amp; Roles'!$A$6:$A$25</formula1>
    </dataValidation>
    <dataValidation type="list" allowBlank="1" showInputMessage="1" sqref="G15">
      <formula1>'2. Roster &amp; Roles'!$A$6:$A$25</formula1>
    </dataValidation>
    <dataValidation type="list" allowBlank="1" showInputMessage="1" sqref="G16">
      <formula1>'2. Roster &amp; Roles'!$A$6:$A$25</formula1>
    </dataValidation>
    <dataValidation type="list" allowBlank="1" showInputMessage="1" sqref="G17">
      <formula1>'2. Roster &amp; Roles'!$A$6:$A$25</formula1>
    </dataValidation>
    <dataValidation type="list" allowBlank="1" showInputMessage="1" sqref="G18">
      <formula1>'2. Roster &amp; Roles'!$A$6:$A$25</formula1>
    </dataValidation>
    <dataValidation type="list" allowBlank="1" showInputMessage="1" sqref="G19">
      <formula1>'2. Roster &amp; Roles'!$A$6:$A$25</formula1>
    </dataValidation>
    <dataValidation type="list" allowBlank="1" showInputMessage="1" sqref="G20">
      <formula1>'2. Roster &amp; Roles'!$A$6:$A$25</formula1>
    </dataValidation>
    <dataValidation type="list" allowBlank="1" showInputMessage="1" sqref="G21">
      <formula1>'2. Roster &amp; Roles'!$A$6:$A$25</formula1>
    </dataValidation>
    <dataValidation type="list" allowBlank="1" showInputMessage="1" sqref="G22">
      <formula1>'2. Roster &amp; Roles'!$A$6:$A$25</formula1>
    </dataValidation>
    <dataValidation type="list" allowBlank="1" showInputMessage="1" sqref="G23">
      <formula1>'2. Roster &amp; Roles'!$A$6:$A$25</formula1>
    </dataValidation>
    <dataValidation type="list" allowBlank="1" showInputMessage="1" sqref="G24">
      <formula1>'2. Roster &amp; Roles'!$A$6:$A$25</formula1>
    </dataValidation>
    <dataValidation type="list" allowBlank="1" showInputMessage="1" sqref="G25">
      <formula1>'2. Roster &amp; Roles'!$A$6:$A$25</formula1>
    </dataValidation>
    <dataValidation type="list" allowBlank="1" showInputMessage="1" sqref="G26">
      <formula1>'2. Roster &amp; Roles'!$A$6:$A$25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D4A843"/>
  </sheetPr>
  <dimension ref="A1:F35"/>
  <sheetViews>
    <sheetView showGridLines="0" workbookViewId="0"/>
  </sheetViews>
  <sheetFormatPr defaultRowHeight="15"/>
  <cols>
    <col min="1" max="1" width="3.7109375" customWidth="1"/>
    <col min="2" max="2" width="18.7109375" customWidth="1"/>
    <col min="3" max="3" width="30.7109375" customWidth="1"/>
    <col min="4" max="4" width="6.7109375" customWidth="1"/>
    <col min="5" max="5" width="18.7109375" customWidth="1"/>
    <col min="6" max="6" width="30.7109375" customWidth="1"/>
  </cols>
  <sheetData>
    <row r="1" spans="1:6" ht="36" customHeight="1">
      <c r="A1" s="1" t="s">
        <v>158</v>
      </c>
    </row>
    <row r="2" spans="1:6" ht="20" customHeight="1">
      <c r="A2" s="2" t="s">
        <v>159</v>
      </c>
    </row>
    <row r="4" spans="1:6" ht="38" customHeight="1">
      <c r="B4" s="29" t="s">
        <v>160</v>
      </c>
      <c r="C4" s="29"/>
      <c r="E4" s="30" t="s">
        <v>161</v>
      </c>
      <c r="F4" s="30"/>
    </row>
    <row r="6" spans="1:6" ht="28" customHeight="1">
      <c r="B6" s="31">
        <f>'3. Detailed Timetable'!B8</f>
        <v>0</v>
      </c>
      <c r="C6" s="32">
        <f>'3. Detailed Timetable'!E8</f>
        <v>0</v>
      </c>
      <c r="E6" s="31">
        <f>'3. Detailed Timetable'!B17</f>
        <v>0</v>
      </c>
      <c r="F6" s="32">
        <f>'3. Detailed Timetable'!E17</f>
        <v>0</v>
      </c>
    </row>
    <row r="7" spans="1:6" ht="18" customHeight="1">
      <c r="C7" s="33">
        <f>"Led by: "&amp;'3. Detailed Timetable'!G8</f>
        <v>0</v>
      </c>
      <c r="F7" s="33">
        <f>"Led by: "&amp;'3. Detailed Timetable'!G17</f>
        <v>0</v>
      </c>
    </row>
    <row r="8" spans="1:6" ht="6" customHeight="1">
      <c r="B8" s="34"/>
      <c r="C8" s="34"/>
      <c r="E8" s="34"/>
      <c r="F8" s="34"/>
    </row>
    <row r="9" spans="1:6" ht="28" customHeight="1">
      <c r="B9" s="31">
        <f>'3. Detailed Timetable'!B9</f>
        <v>0</v>
      </c>
      <c r="C9" s="32">
        <f>'3. Detailed Timetable'!E9</f>
        <v>0</v>
      </c>
      <c r="E9" s="31">
        <f>'3. Detailed Timetable'!B18</f>
        <v>0</v>
      </c>
      <c r="F9" s="32">
        <f>'3. Detailed Timetable'!E18</f>
        <v>0</v>
      </c>
    </row>
    <row r="10" spans="1:6" ht="18" customHeight="1">
      <c r="C10" s="33">
        <f>"Led by: "&amp;'3. Detailed Timetable'!G9</f>
        <v>0</v>
      </c>
      <c r="F10" s="33">
        <f>"Led by: "&amp;'3. Detailed Timetable'!G18</f>
        <v>0</v>
      </c>
    </row>
    <row r="11" spans="1:6" ht="6" customHeight="1">
      <c r="B11" s="34"/>
      <c r="C11" s="34"/>
      <c r="E11" s="34"/>
      <c r="F11" s="34"/>
    </row>
    <row r="12" spans="1:6" ht="28" customHeight="1">
      <c r="B12" s="31">
        <f>'3. Detailed Timetable'!B10</f>
        <v>0</v>
      </c>
      <c r="C12" s="32">
        <f>'3. Detailed Timetable'!E10</f>
        <v>0</v>
      </c>
      <c r="E12" s="31">
        <f>'3. Detailed Timetable'!B19</f>
        <v>0</v>
      </c>
      <c r="F12" s="32">
        <f>'3. Detailed Timetable'!E19</f>
        <v>0</v>
      </c>
    </row>
    <row r="13" spans="1:6" ht="18" customHeight="1">
      <c r="C13" s="33">
        <f>"Led by: "&amp;'3. Detailed Timetable'!G10</f>
        <v>0</v>
      </c>
      <c r="F13" s="33">
        <f>"Led by: "&amp;'3. Detailed Timetable'!G19</f>
        <v>0</v>
      </c>
    </row>
    <row r="14" spans="1:6" ht="6" customHeight="1">
      <c r="B14" s="34"/>
      <c r="C14" s="34"/>
      <c r="E14" s="34"/>
      <c r="F14" s="34"/>
    </row>
    <row r="15" spans="1:6" ht="28" customHeight="1">
      <c r="B15" s="31">
        <f>'3. Detailed Timetable'!B11</f>
        <v>0</v>
      </c>
      <c r="C15" s="32">
        <f>'3. Detailed Timetable'!E11</f>
        <v>0</v>
      </c>
      <c r="E15" s="31">
        <f>'3. Detailed Timetable'!B20</f>
        <v>0</v>
      </c>
      <c r="F15" s="32">
        <f>'3. Detailed Timetable'!E20</f>
        <v>0</v>
      </c>
    </row>
    <row r="16" spans="1:6" ht="18" customHeight="1">
      <c r="C16" s="33">
        <f>"Led by: "&amp;'3. Detailed Timetable'!G11</f>
        <v>0</v>
      </c>
      <c r="F16" s="33">
        <f>"Led by: "&amp;'3. Detailed Timetable'!G20</f>
        <v>0</v>
      </c>
    </row>
    <row r="17" spans="2:6" ht="6" customHeight="1">
      <c r="B17" s="34"/>
      <c r="C17" s="34"/>
      <c r="E17" s="34"/>
      <c r="F17" s="34"/>
    </row>
    <row r="18" spans="2:6" ht="28" customHeight="1">
      <c r="B18" s="31">
        <f>'3. Detailed Timetable'!B12</f>
        <v>0</v>
      </c>
      <c r="C18" s="32">
        <f>'3. Detailed Timetable'!E12</f>
        <v>0</v>
      </c>
      <c r="E18" s="31">
        <f>'3. Detailed Timetable'!B21</f>
        <v>0</v>
      </c>
      <c r="F18" s="32">
        <f>'3. Detailed Timetable'!E21</f>
        <v>0</v>
      </c>
    </row>
    <row r="19" spans="2:6" ht="18" customHeight="1">
      <c r="C19" s="33">
        <f>"Led by: "&amp;'3. Detailed Timetable'!G12</f>
        <v>0</v>
      </c>
      <c r="F19" s="33">
        <f>"Led by: "&amp;'3. Detailed Timetable'!G21</f>
        <v>0</v>
      </c>
    </row>
    <row r="20" spans="2:6" ht="6" customHeight="1">
      <c r="B20" s="34"/>
      <c r="C20" s="34"/>
      <c r="E20" s="34"/>
      <c r="F20" s="34"/>
    </row>
    <row r="21" spans="2:6" ht="28" customHeight="1">
      <c r="B21" s="31">
        <f>'3. Detailed Timetable'!B13</f>
        <v>0</v>
      </c>
      <c r="C21" s="32">
        <f>'3. Detailed Timetable'!E13</f>
        <v>0</v>
      </c>
      <c r="E21" s="31">
        <f>'3. Detailed Timetable'!B22</f>
        <v>0</v>
      </c>
      <c r="F21" s="32">
        <f>'3. Detailed Timetable'!E22</f>
        <v>0</v>
      </c>
    </row>
    <row r="22" spans="2:6" ht="18" customHeight="1">
      <c r="C22" s="33">
        <f>"Led by: "&amp;'3. Detailed Timetable'!G13</f>
        <v>0</v>
      </c>
      <c r="F22" s="33">
        <f>"Led by: "&amp;'3. Detailed Timetable'!G22</f>
        <v>0</v>
      </c>
    </row>
    <row r="23" spans="2:6" ht="6" customHeight="1">
      <c r="B23" s="34"/>
      <c r="C23" s="34"/>
      <c r="E23" s="34"/>
      <c r="F23" s="34"/>
    </row>
    <row r="24" spans="2:6" ht="28" customHeight="1">
      <c r="B24" s="31">
        <f>'3. Detailed Timetable'!B14</f>
        <v>0</v>
      </c>
      <c r="C24" s="32">
        <f>'3. Detailed Timetable'!E14</f>
        <v>0</v>
      </c>
      <c r="E24" s="31">
        <f>'3. Detailed Timetable'!B23</f>
        <v>0</v>
      </c>
      <c r="F24" s="32">
        <f>'3. Detailed Timetable'!E23</f>
        <v>0</v>
      </c>
    </row>
    <row r="25" spans="2:6" ht="18" customHeight="1">
      <c r="C25" s="33">
        <f>"Led by: "&amp;'3. Detailed Timetable'!G14</f>
        <v>0</v>
      </c>
      <c r="F25" s="33">
        <f>"Led by: "&amp;'3. Detailed Timetable'!G23</f>
        <v>0</v>
      </c>
    </row>
    <row r="26" spans="2:6" ht="6" customHeight="1">
      <c r="B26" s="34"/>
      <c r="C26" s="34"/>
      <c r="E26" s="34"/>
      <c r="F26" s="34"/>
    </row>
    <row r="27" spans="2:6" ht="28" customHeight="1">
      <c r="B27" s="31">
        <f>'3. Detailed Timetable'!B15</f>
        <v>0</v>
      </c>
      <c r="C27" s="32">
        <f>'3. Detailed Timetable'!E15</f>
        <v>0</v>
      </c>
      <c r="E27" s="31">
        <f>'3. Detailed Timetable'!B24</f>
        <v>0</v>
      </c>
      <c r="F27" s="32">
        <f>'3. Detailed Timetable'!E24</f>
        <v>0</v>
      </c>
    </row>
    <row r="28" spans="2:6" ht="18" customHeight="1">
      <c r="C28" s="33">
        <f>"Led by: "&amp;'3. Detailed Timetable'!G15</f>
        <v>0</v>
      </c>
      <c r="F28" s="33">
        <f>"Led by: "&amp;'3. Detailed Timetable'!G24</f>
        <v>0</v>
      </c>
    </row>
    <row r="29" spans="2:6" ht="6" customHeight="1">
      <c r="B29" s="34"/>
      <c r="C29" s="34"/>
      <c r="E29" s="34"/>
      <c r="F29" s="34"/>
    </row>
    <row r="30" spans="2:6" ht="28" customHeight="1">
      <c r="B30" s="31">
        <f>'3. Detailed Timetable'!B16</f>
        <v>0</v>
      </c>
      <c r="C30" s="32">
        <f>'3. Detailed Timetable'!E16</f>
        <v>0</v>
      </c>
      <c r="E30" s="31">
        <f>'3. Detailed Timetable'!B25</f>
        <v>0</v>
      </c>
      <c r="F30" s="32">
        <f>'3. Detailed Timetable'!E25</f>
        <v>0</v>
      </c>
    </row>
    <row r="31" spans="2:6" ht="18" customHeight="1">
      <c r="C31" s="33">
        <f>"Led by: "&amp;'3. Detailed Timetable'!G16</f>
        <v>0</v>
      </c>
      <c r="F31" s="33">
        <f>"Led by: "&amp;'3. Detailed Timetable'!G25</f>
        <v>0</v>
      </c>
    </row>
    <row r="32" spans="2:6" ht="6" customHeight="1">
      <c r="B32" s="34"/>
      <c r="C32" s="34"/>
      <c r="E32" s="34"/>
      <c r="F32" s="34"/>
    </row>
    <row r="33" spans="5:6" ht="28" customHeight="1">
      <c r="E33" s="31">
        <f>'3. Detailed Timetable'!B26</f>
        <v>0</v>
      </c>
      <c r="F33" s="32">
        <f>'3. Detailed Timetable'!E26</f>
        <v>0</v>
      </c>
    </row>
    <row r="34" spans="5:6" ht="18" customHeight="1">
      <c r="F34" s="33">
        <f>"Led by: "&amp;'3. Detailed Timetable'!G26</f>
        <v>0</v>
      </c>
    </row>
    <row r="35" spans="5:6" ht="6" customHeight="1">
      <c r="E35" s="34"/>
      <c r="F35" s="34"/>
    </row>
  </sheetData>
  <mergeCells count="2">
    <mergeCell ref="B4:C4"/>
    <mergeCell ref="E4:F4"/>
  </mergeCell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1A7A6D"/>
  </sheetPr>
  <dimension ref="A1:E18"/>
  <sheetViews>
    <sheetView showGridLines="0" workbookViewId="0"/>
  </sheetViews>
  <sheetFormatPr defaultRowHeight="15"/>
  <cols>
    <col min="1" max="1" width="22.7109375" customWidth="1"/>
    <col min="2" max="2" width="55.7109375" customWidth="1"/>
    <col min="3" max="3" width="26.7109375" customWidth="1"/>
    <col min="4" max="4" width="15.7109375" customWidth="1"/>
    <col min="5" max="5" width="35.7109375" customWidth="1"/>
  </cols>
  <sheetData>
    <row r="1" spans="1:5" ht="36" customHeight="1">
      <c r="A1" s="1" t="s">
        <v>162</v>
      </c>
    </row>
    <row r="2" spans="1:5" ht="20" customHeight="1">
      <c r="A2" s="2" t="s">
        <v>163</v>
      </c>
    </row>
    <row r="4" spans="1:5" ht="28" customHeight="1">
      <c r="A4" s="3" t="s">
        <v>164</v>
      </c>
      <c r="B4" s="3"/>
      <c r="C4" s="3"/>
      <c r="D4" s="3"/>
      <c r="E4" s="3"/>
    </row>
    <row r="5" spans="1:5" ht="26" customHeight="1">
      <c r="A5" s="6" t="s">
        <v>165</v>
      </c>
      <c r="B5" s="6" t="s">
        <v>166</v>
      </c>
      <c r="C5" s="6" t="s">
        <v>85</v>
      </c>
      <c r="D5" s="6" t="s">
        <v>167</v>
      </c>
      <c r="E5" s="6" t="s">
        <v>168</v>
      </c>
    </row>
    <row r="6" spans="1:5" ht="28" customHeight="1">
      <c r="A6" s="4" t="s">
        <v>169</v>
      </c>
      <c r="B6" s="4" t="s">
        <v>170</v>
      </c>
      <c r="C6" s="13" t="s">
        <v>61</v>
      </c>
      <c r="D6" s="7" t="s">
        <v>171</v>
      </c>
      <c r="E6" s="4"/>
    </row>
    <row r="7" spans="1:5" ht="28" customHeight="1">
      <c r="A7" s="9" t="s">
        <v>169</v>
      </c>
      <c r="B7" s="9" t="s">
        <v>172</v>
      </c>
      <c r="C7" s="16" t="s">
        <v>51</v>
      </c>
      <c r="D7" s="8" t="s">
        <v>171</v>
      </c>
      <c r="E7" s="9"/>
    </row>
    <row r="8" spans="1:5" ht="28" customHeight="1">
      <c r="A8" s="4" t="s">
        <v>169</v>
      </c>
      <c r="B8" s="4" t="s">
        <v>173</v>
      </c>
      <c r="C8" s="13" t="s">
        <v>51</v>
      </c>
      <c r="D8" s="7" t="s">
        <v>171</v>
      </c>
      <c r="E8" s="4"/>
    </row>
    <row r="9" spans="1:5" ht="28" customHeight="1">
      <c r="A9" s="9" t="s">
        <v>169</v>
      </c>
      <c r="B9" s="9" t="s">
        <v>174</v>
      </c>
      <c r="C9" s="16" t="s">
        <v>63</v>
      </c>
      <c r="D9" s="8" t="s">
        <v>171</v>
      </c>
      <c r="E9" s="9"/>
    </row>
    <row r="10" spans="1:5" ht="28" customHeight="1">
      <c r="A10" s="4" t="s">
        <v>169</v>
      </c>
      <c r="B10" s="4" t="s">
        <v>175</v>
      </c>
      <c r="C10" s="13" t="s">
        <v>61</v>
      </c>
      <c r="D10" s="7" t="s">
        <v>171</v>
      </c>
      <c r="E10" s="4"/>
    </row>
    <row r="11" spans="1:5" ht="28" customHeight="1">
      <c r="A11" s="9" t="s">
        <v>169</v>
      </c>
      <c r="B11" s="9" t="s">
        <v>176</v>
      </c>
      <c r="C11" s="16" t="s">
        <v>59</v>
      </c>
      <c r="D11" s="8" t="s">
        <v>171</v>
      </c>
      <c r="E11" s="9"/>
    </row>
    <row r="12" spans="1:5" ht="28" customHeight="1">
      <c r="A12" s="4" t="s">
        <v>169</v>
      </c>
      <c r="B12" s="4" t="s">
        <v>177</v>
      </c>
      <c r="C12" s="13" t="s">
        <v>61</v>
      </c>
      <c r="D12" s="7" t="s">
        <v>171</v>
      </c>
      <c r="E12" s="4"/>
    </row>
    <row r="13" spans="1:5" ht="28" customHeight="1">
      <c r="A13" s="9" t="s">
        <v>169</v>
      </c>
      <c r="B13" s="9" t="s">
        <v>178</v>
      </c>
      <c r="C13" s="16" t="s">
        <v>53</v>
      </c>
      <c r="D13" s="8" t="s">
        <v>171</v>
      </c>
      <c r="E13" s="9"/>
    </row>
    <row r="14" spans="1:5" ht="28" customHeight="1">
      <c r="A14" s="4" t="s">
        <v>169</v>
      </c>
      <c r="B14" s="4" t="s">
        <v>179</v>
      </c>
      <c r="C14" s="13" t="s">
        <v>53</v>
      </c>
      <c r="D14" s="7" t="s">
        <v>171</v>
      </c>
      <c r="E14" s="4"/>
    </row>
    <row r="15" spans="1:5" ht="28" customHeight="1">
      <c r="A15" s="9" t="s">
        <v>169</v>
      </c>
      <c r="B15" s="9" t="s">
        <v>180</v>
      </c>
      <c r="C15" s="16" t="s">
        <v>55</v>
      </c>
      <c r="D15" s="8" t="s">
        <v>171</v>
      </c>
      <c r="E15" s="9"/>
    </row>
    <row r="16" spans="1:5" ht="28" customHeight="1">
      <c r="A16" s="4" t="s">
        <v>169</v>
      </c>
      <c r="B16" s="4" t="s">
        <v>181</v>
      </c>
      <c r="C16" s="13" t="s">
        <v>55</v>
      </c>
      <c r="D16" s="7" t="s">
        <v>171</v>
      </c>
      <c r="E16" s="4"/>
    </row>
    <row r="17" spans="1:5" ht="28" customHeight="1">
      <c r="A17" s="9" t="s">
        <v>169</v>
      </c>
      <c r="B17" s="9" t="s">
        <v>182</v>
      </c>
      <c r="C17" s="16" t="s">
        <v>61</v>
      </c>
      <c r="D17" s="8" t="s">
        <v>171</v>
      </c>
      <c r="E17" s="9"/>
    </row>
    <row r="18" spans="1:5" ht="28" customHeight="1">
      <c r="A18" s="4" t="s">
        <v>169</v>
      </c>
      <c r="B18" s="4" t="s">
        <v>183</v>
      </c>
      <c r="C18" s="13" t="s">
        <v>74</v>
      </c>
      <c r="D18" s="7" t="s">
        <v>171</v>
      </c>
      <c r="E18" s="4"/>
    </row>
  </sheetData>
  <mergeCells count="1">
    <mergeCell ref="A4:E4"/>
  </mergeCells>
  <dataValidations count="26">
    <dataValidation type="list" allowBlank="1" showInputMessage="1" sqref="C6">
      <formula1>'2. Roster &amp; Roles'!$A$6:$A$25</formula1>
    </dataValidation>
    <dataValidation type="list" allowBlank="1" showInputMessage="1" showErrorMessage="1" sqref="D6">
      <formula1>"Not Started,Pending,Done"</formula1>
    </dataValidation>
    <dataValidation type="list" allowBlank="1" showInputMessage="1" sqref="C7">
      <formula1>'2. Roster &amp; Roles'!$A$6:$A$25</formula1>
    </dataValidation>
    <dataValidation type="list" allowBlank="1" showInputMessage="1" showErrorMessage="1" sqref="D7">
      <formula1>"Not Started,Pending,Done"</formula1>
    </dataValidation>
    <dataValidation type="list" allowBlank="1" showInputMessage="1" sqref="C8">
      <formula1>'2. Roster &amp; Roles'!$A$6:$A$25</formula1>
    </dataValidation>
    <dataValidation type="list" allowBlank="1" showInputMessage="1" showErrorMessage="1" sqref="D8">
      <formula1>"Not Started,Pending,Done"</formula1>
    </dataValidation>
    <dataValidation type="list" allowBlank="1" showInputMessage="1" sqref="C9">
      <formula1>'2. Roster &amp; Roles'!$A$6:$A$25</formula1>
    </dataValidation>
    <dataValidation type="list" allowBlank="1" showInputMessage="1" showErrorMessage="1" sqref="D9">
      <formula1>"Not Started,Pending,Done"</formula1>
    </dataValidation>
    <dataValidation type="list" allowBlank="1" showInputMessage="1" sqref="C10">
      <formula1>'2. Roster &amp; Roles'!$A$6:$A$25</formula1>
    </dataValidation>
    <dataValidation type="list" allowBlank="1" showInputMessage="1" showErrorMessage="1" sqref="D10">
      <formula1>"Not Started,Pending,Done"</formula1>
    </dataValidation>
    <dataValidation type="list" allowBlank="1" showInputMessage="1" sqref="C11">
      <formula1>'2. Roster &amp; Roles'!$A$6:$A$25</formula1>
    </dataValidation>
    <dataValidation type="list" allowBlank="1" showInputMessage="1" showErrorMessage="1" sqref="D11">
      <formula1>"Not Started,Pending,Done"</formula1>
    </dataValidation>
    <dataValidation type="list" allowBlank="1" showInputMessage="1" sqref="C12">
      <formula1>'2. Roster &amp; Roles'!$A$6:$A$25</formula1>
    </dataValidation>
    <dataValidation type="list" allowBlank="1" showInputMessage="1" showErrorMessage="1" sqref="D12">
      <formula1>"Not Started,Pending,Done"</formula1>
    </dataValidation>
    <dataValidation type="list" allowBlank="1" showInputMessage="1" sqref="C13">
      <formula1>'2. Roster &amp; Roles'!$A$6:$A$25</formula1>
    </dataValidation>
    <dataValidation type="list" allowBlank="1" showInputMessage="1" showErrorMessage="1" sqref="D13">
      <formula1>"Not Started,Pending,Done"</formula1>
    </dataValidation>
    <dataValidation type="list" allowBlank="1" showInputMessage="1" sqref="C14">
      <formula1>'2. Roster &amp; Roles'!$A$6:$A$25</formula1>
    </dataValidation>
    <dataValidation type="list" allowBlank="1" showInputMessage="1" showErrorMessage="1" sqref="D14">
      <formula1>"Not Started,Pending,Done"</formula1>
    </dataValidation>
    <dataValidation type="list" allowBlank="1" showInputMessage="1" sqref="C15">
      <formula1>'2. Roster &amp; Roles'!$A$6:$A$25</formula1>
    </dataValidation>
    <dataValidation type="list" allowBlank="1" showInputMessage="1" showErrorMessage="1" sqref="D15">
      <formula1>"Not Started,Pending,Done"</formula1>
    </dataValidation>
    <dataValidation type="list" allowBlank="1" showInputMessage="1" sqref="C16">
      <formula1>'2. Roster &amp; Roles'!$A$6:$A$25</formula1>
    </dataValidation>
    <dataValidation type="list" allowBlank="1" showInputMessage="1" showErrorMessage="1" sqref="D16">
      <formula1>"Not Started,Pending,Done"</formula1>
    </dataValidation>
    <dataValidation type="list" allowBlank="1" showInputMessage="1" sqref="C17">
      <formula1>'2. Roster &amp; Roles'!$A$6:$A$25</formula1>
    </dataValidation>
    <dataValidation type="list" allowBlank="1" showInputMessage="1" showErrorMessage="1" sqref="D17">
      <formula1>"Not Started,Pending,Done"</formula1>
    </dataValidation>
    <dataValidation type="list" allowBlank="1" showInputMessage="1" sqref="C18">
      <formula1>'2. Roster &amp; Roles'!$A$6:$A$25</formula1>
    </dataValidation>
    <dataValidation type="list" allowBlank="1" showInputMessage="1" showErrorMessage="1" sqref="D18">
      <formula1>"Not Started,Pending,Done"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E57373"/>
  </sheetPr>
  <dimension ref="A1:D25"/>
  <sheetViews>
    <sheetView showGridLines="0" workbookViewId="0"/>
  </sheetViews>
  <sheetFormatPr defaultRowHeight="15"/>
  <cols>
    <col min="1" max="1" width="28.7109375" customWidth="1"/>
    <col min="2" max="2" width="30.7109375" customWidth="1"/>
    <col min="3" max="3" width="35.7109375" customWidth="1"/>
    <col min="4" max="4" width="40.7109375" customWidth="1"/>
  </cols>
  <sheetData>
    <row r="1" spans="1:4" ht="36" customHeight="1">
      <c r="A1" s="1" t="s">
        <v>184</v>
      </c>
    </row>
    <row r="2" spans="1:4" ht="20" customHeight="1">
      <c r="A2" s="2" t="s">
        <v>185</v>
      </c>
    </row>
    <row r="4" spans="1:4" ht="28" customHeight="1">
      <c r="A4" s="35" t="s">
        <v>186</v>
      </c>
      <c r="B4" s="35"/>
      <c r="C4" s="35"/>
      <c r="D4" s="35"/>
    </row>
    <row r="5" spans="1:4" ht="24" customHeight="1">
      <c r="A5" s="6" t="s">
        <v>187</v>
      </c>
      <c r="B5" s="6" t="s">
        <v>188</v>
      </c>
      <c r="C5" s="6" t="s">
        <v>189</v>
      </c>
      <c r="D5" s="6" t="s">
        <v>190</v>
      </c>
    </row>
    <row r="6" spans="1:4" ht="28" customHeight="1">
      <c r="A6" s="12" t="s">
        <v>191</v>
      </c>
      <c r="B6" s="28" t="s">
        <v>192</v>
      </c>
      <c r="C6" s="4" t="s">
        <v>193</v>
      </c>
      <c r="D6" s="4" t="s">
        <v>194</v>
      </c>
    </row>
    <row r="7" spans="1:4" ht="28" customHeight="1">
      <c r="A7" s="15" t="s">
        <v>195</v>
      </c>
      <c r="B7" s="27" t="s">
        <v>196</v>
      </c>
      <c r="C7" s="9" t="s">
        <v>197</v>
      </c>
      <c r="D7" s="9" t="s">
        <v>198</v>
      </c>
    </row>
    <row r="8" spans="1:4" ht="28" customHeight="1">
      <c r="A8" s="12" t="s">
        <v>199</v>
      </c>
      <c r="B8" s="28" t="s">
        <v>200</v>
      </c>
      <c r="C8" s="4" t="s">
        <v>201</v>
      </c>
      <c r="D8" s="4" t="s">
        <v>202</v>
      </c>
    </row>
    <row r="9" spans="1:4" ht="28" customHeight="1">
      <c r="A9" s="15" t="s">
        <v>203</v>
      </c>
      <c r="B9" s="27" t="s">
        <v>16</v>
      </c>
      <c r="C9" s="9" t="s">
        <v>204</v>
      </c>
      <c r="D9" s="9" t="s">
        <v>205</v>
      </c>
    </row>
    <row r="10" spans="1:4" ht="28" customHeight="1">
      <c r="A10" s="12" t="s">
        <v>206</v>
      </c>
      <c r="B10" s="28" t="s">
        <v>32</v>
      </c>
      <c r="C10" s="4" t="s">
        <v>207</v>
      </c>
      <c r="D10" s="4" t="s">
        <v>208</v>
      </c>
    </row>
    <row r="11" spans="1:4" ht="28" customHeight="1">
      <c r="A11" s="15" t="s">
        <v>209</v>
      </c>
      <c r="B11" s="27" t="s">
        <v>35</v>
      </c>
      <c r="C11" s="9" t="s">
        <v>210</v>
      </c>
      <c r="D11" s="9" t="s">
        <v>211</v>
      </c>
    </row>
    <row r="13" spans="1:4" ht="28" customHeight="1">
      <c r="A13" s="3" t="s">
        <v>212</v>
      </c>
      <c r="B13" s="3"/>
      <c r="C13" s="3"/>
      <c r="D13" s="3"/>
    </row>
    <row r="14" spans="1:4" ht="24" customHeight="1">
      <c r="A14" s="6" t="s">
        <v>213</v>
      </c>
      <c r="B14" s="6" t="s">
        <v>214</v>
      </c>
      <c r="C14" s="6" t="s">
        <v>215</v>
      </c>
      <c r="D14" s="6" t="s">
        <v>216</v>
      </c>
    </row>
    <row r="15" spans="1:4" ht="28" customHeight="1">
      <c r="A15" s="12" t="s">
        <v>217</v>
      </c>
      <c r="B15" s="36" t="s">
        <v>218</v>
      </c>
      <c r="C15" s="4" t="s">
        <v>219</v>
      </c>
      <c r="D15" s="4" t="s">
        <v>220</v>
      </c>
    </row>
    <row r="16" spans="1:4" ht="28" customHeight="1">
      <c r="A16" s="15" t="s">
        <v>221</v>
      </c>
      <c r="B16" s="37" t="s">
        <v>222</v>
      </c>
      <c r="C16" s="9" t="s">
        <v>223</v>
      </c>
      <c r="D16" s="9" t="s">
        <v>224</v>
      </c>
    </row>
    <row r="17" spans="1:4" ht="28" customHeight="1">
      <c r="A17" s="12" t="s">
        <v>225</v>
      </c>
      <c r="B17" s="36" t="s">
        <v>226</v>
      </c>
      <c r="C17" s="4" t="s">
        <v>227</v>
      </c>
      <c r="D17" s="4" t="s">
        <v>228</v>
      </c>
    </row>
    <row r="18" spans="1:4" ht="28" customHeight="1">
      <c r="A18" s="15" t="s">
        <v>229</v>
      </c>
      <c r="B18" s="37" t="s">
        <v>230</v>
      </c>
      <c r="C18" s="9" t="s">
        <v>231</v>
      </c>
      <c r="D18" s="9" t="s">
        <v>232</v>
      </c>
    </row>
    <row r="19" spans="1:4" ht="28" customHeight="1">
      <c r="A19" s="12" t="s">
        <v>233</v>
      </c>
      <c r="B19" s="36" t="s">
        <v>234</v>
      </c>
      <c r="C19" s="4" t="s">
        <v>57</v>
      </c>
      <c r="D19" s="4" t="s">
        <v>235</v>
      </c>
    </row>
    <row r="21" spans="1:4" ht="28" customHeight="1">
      <c r="A21" s="3" t="s">
        <v>236</v>
      </c>
      <c r="B21" s="3"/>
      <c r="C21" s="3"/>
      <c r="D21" s="3"/>
    </row>
    <row r="22" spans="1:4" ht="24" customHeight="1">
      <c r="A22" s="6" t="s">
        <v>237</v>
      </c>
      <c r="B22" s="6" t="s">
        <v>238</v>
      </c>
      <c r="C22" s="6" t="s">
        <v>239</v>
      </c>
      <c r="D22" s="6" t="s">
        <v>240</v>
      </c>
    </row>
    <row r="23" spans="1:4" ht="28" customHeight="1">
      <c r="A23" s="38" t="s">
        <v>241</v>
      </c>
      <c r="B23" s="4" t="s">
        <v>242</v>
      </c>
      <c r="C23" s="4" t="s">
        <v>243</v>
      </c>
      <c r="D23" s="4" t="s">
        <v>244</v>
      </c>
    </row>
    <row r="24" spans="1:4" ht="28" customHeight="1">
      <c r="A24" s="39" t="s">
        <v>245</v>
      </c>
      <c r="B24" s="9" t="s">
        <v>246</v>
      </c>
      <c r="C24" s="9" t="s">
        <v>247</v>
      </c>
      <c r="D24" s="9" t="s">
        <v>248</v>
      </c>
    </row>
    <row r="25" spans="1:4" ht="28" customHeight="1">
      <c r="A25" s="40" t="s">
        <v>249</v>
      </c>
      <c r="B25" s="4" t="s">
        <v>250</v>
      </c>
      <c r="C25" s="4" t="s">
        <v>251</v>
      </c>
      <c r="D25" s="4" t="s">
        <v>252</v>
      </c>
    </row>
  </sheetData>
  <mergeCells count="3">
    <mergeCell ref="A4:D4"/>
    <mergeCell ref="A13:D13"/>
    <mergeCell ref="A21:D21"/>
  </mergeCell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3D5A80"/>
  </sheetPr>
  <dimension ref="A1:E34"/>
  <sheetViews>
    <sheetView showGridLines="0" workbookViewId="0"/>
  </sheetViews>
  <sheetFormatPr defaultRowHeight="15"/>
  <cols>
    <col min="1" max="1" width="32.7109375" customWidth="1"/>
    <col min="2" max="2" width="12.7109375" customWidth="1"/>
    <col min="3" max="3" width="26.7109375" customWidth="1"/>
    <col min="4" max="4" width="14.7109375" customWidth="1"/>
    <col min="5" max="5" width="35.7109375" customWidth="1"/>
  </cols>
  <sheetData>
    <row r="1" spans="1:5" ht="36" customHeight="1">
      <c r="A1" s="1" t="s">
        <v>253</v>
      </c>
    </row>
    <row r="2" spans="1:5" ht="20" customHeight="1">
      <c r="A2" s="2" t="s">
        <v>254</v>
      </c>
    </row>
    <row r="4" spans="1:5" ht="28" customHeight="1">
      <c r="A4" s="3" t="s">
        <v>255</v>
      </c>
      <c r="B4" s="3"/>
      <c r="C4" s="3"/>
      <c r="D4" s="3"/>
      <c r="E4" s="3"/>
    </row>
    <row r="5" spans="1:5" ht="26" customHeight="1">
      <c r="A5" s="6" t="s">
        <v>256</v>
      </c>
      <c r="B5" s="6" t="s">
        <v>257</v>
      </c>
      <c r="C5" s="6" t="s">
        <v>85</v>
      </c>
      <c r="D5" s="6" t="s">
        <v>167</v>
      </c>
      <c r="E5" s="6" t="s">
        <v>168</v>
      </c>
    </row>
    <row r="6" spans="1:5" ht="24" customHeight="1">
      <c r="A6" s="4" t="s">
        <v>258</v>
      </c>
      <c r="B6" s="7">
        <v>1</v>
      </c>
      <c r="C6" s="13" t="s">
        <v>259</v>
      </c>
      <c r="D6" s="7" t="s">
        <v>260</v>
      </c>
      <c r="E6" s="4"/>
    </row>
    <row r="7" spans="1:5" ht="24" customHeight="1">
      <c r="A7" s="9" t="s">
        <v>261</v>
      </c>
      <c r="B7" s="8">
        <v>1</v>
      </c>
      <c r="C7" s="16" t="s">
        <v>63</v>
      </c>
      <c r="D7" s="8" t="s">
        <v>260</v>
      </c>
      <c r="E7" s="9"/>
    </row>
    <row r="8" spans="1:5" ht="24" customHeight="1">
      <c r="A8" s="4" t="s">
        <v>262</v>
      </c>
      <c r="B8" s="7">
        <v>1</v>
      </c>
      <c r="C8" s="13" t="s">
        <v>63</v>
      </c>
      <c r="D8" s="7" t="s">
        <v>260</v>
      </c>
      <c r="E8" s="4"/>
    </row>
    <row r="9" spans="1:5" ht="24" customHeight="1">
      <c r="A9" s="9" t="s">
        <v>263</v>
      </c>
      <c r="B9" s="8">
        <v>2</v>
      </c>
      <c r="C9" s="16" t="s">
        <v>219</v>
      </c>
      <c r="D9" s="8" t="s">
        <v>260</v>
      </c>
      <c r="E9" s="9"/>
    </row>
    <row r="10" spans="1:5" ht="24" customHeight="1">
      <c r="A10" s="4" t="s">
        <v>264</v>
      </c>
      <c r="B10" s="7">
        <v>2</v>
      </c>
      <c r="C10" s="13" t="s">
        <v>219</v>
      </c>
      <c r="D10" s="7" t="s">
        <v>260</v>
      </c>
      <c r="E10" s="4"/>
    </row>
    <row r="11" spans="1:5" ht="24" customHeight="1">
      <c r="A11" s="9" t="s">
        <v>265</v>
      </c>
      <c r="B11" s="8">
        <v>1</v>
      </c>
      <c r="C11" s="16" t="s">
        <v>53</v>
      </c>
      <c r="D11" s="8" t="s">
        <v>260</v>
      </c>
      <c r="E11" s="9"/>
    </row>
    <row r="12" spans="1:5" ht="24" customHeight="1">
      <c r="A12" s="4" t="s">
        <v>266</v>
      </c>
      <c r="B12" s="7">
        <v>2</v>
      </c>
      <c r="C12" s="13" t="s">
        <v>53</v>
      </c>
      <c r="D12" s="7" t="s">
        <v>260</v>
      </c>
      <c r="E12" s="4"/>
    </row>
    <row r="13" spans="1:5" ht="24" customHeight="1">
      <c r="A13" s="9" t="s">
        <v>267</v>
      </c>
      <c r="B13" s="8">
        <v>5</v>
      </c>
      <c r="C13" s="16" t="s">
        <v>53</v>
      </c>
      <c r="D13" s="8" t="s">
        <v>260</v>
      </c>
      <c r="E13" s="9"/>
    </row>
    <row r="14" spans="1:5" ht="24" customHeight="1">
      <c r="A14" s="4" t="s">
        <v>268</v>
      </c>
      <c r="B14" s="7">
        <v>5</v>
      </c>
      <c r="C14" s="13" t="s">
        <v>53</v>
      </c>
      <c r="D14" s="7" t="s">
        <v>260</v>
      </c>
      <c r="E14" s="4"/>
    </row>
    <row r="15" spans="1:5" ht="24" customHeight="1">
      <c r="A15" s="9" t="s">
        <v>269</v>
      </c>
      <c r="B15" s="8">
        <v>1</v>
      </c>
      <c r="C15" s="16" t="s">
        <v>53</v>
      </c>
      <c r="D15" s="8" t="s">
        <v>260</v>
      </c>
      <c r="E15" s="9"/>
    </row>
    <row r="16" spans="1:5" ht="24" customHeight="1">
      <c r="A16" s="4" t="s">
        <v>270</v>
      </c>
      <c r="B16" s="7">
        <v>4</v>
      </c>
      <c r="C16" s="13" t="s">
        <v>59</v>
      </c>
      <c r="D16" s="7" t="s">
        <v>260</v>
      </c>
      <c r="E16" s="4"/>
    </row>
    <row r="17" spans="1:5" ht="24" customHeight="1">
      <c r="A17" s="9" t="s">
        <v>271</v>
      </c>
      <c r="B17" s="8">
        <v>5</v>
      </c>
      <c r="C17" s="16" t="s">
        <v>53</v>
      </c>
      <c r="D17" s="8" t="s">
        <v>260</v>
      </c>
      <c r="E17" s="9"/>
    </row>
    <row r="18" spans="1:5" ht="24" customHeight="1">
      <c r="A18" s="4" t="s">
        <v>272</v>
      </c>
      <c r="B18" s="7">
        <v>1</v>
      </c>
      <c r="C18" s="13" t="s">
        <v>53</v>
      </c>
      <c r="D18" s="7" t="s">
        <v>260</v>
      </c>
      <c r="E18" s="4"/>
    </row>
    <row r="19" spans="1:5" ht="24" customHeight="1">
      <c r="A19" s="9" t="s">
        <v>273</v>
      </c>
      <c r="B19" s="8">
        <v>1</v>
      </c>
      <c r="C19" s="16" t="s">
        <v>53</v>
      </c>
      <c r="D19" s="8" t="s">
        <v>260</v>
      </c>
      <c r="E19" s="9"/>
    </row>
    <row r="20" spans="1:5" ht="24" customHeight="1">
      <c r="A20" s="4" t="s">
        <v>274</v>
      </c>
      <c r="B20" s="7">
        <v>2</v>
      </c>
      <c r="C20" s="13" t="s">
        <v>53</v>
      </c>
      <c r="D20" s="7" t="s">
        <v>260</v>
      </c>
      <c r="E20" s="4"/>
    </row>
    <row r="21" spans="1:5" ht="24" customHeight="1">
      <c r="A21" s="9" t="s">
        <v>275</v>
      </c>
      <c r="B21" s="8">
        <v>1</v>
      </c>
      <c r="C21" s="16" t="s">
        <v>53</v>
      </c>
      <c r="D21" s="8" t="s">
        <v>260</v>
      </c>
      <c r="E21" s="9"/>
    </row>
    <row r="22" spans="1:5" ht="24" customHeight="1">
      <c r="A22" s="4" t="s">
        <v>276</v>
      </c>
      <c r="B22" s="7">
        <v>2</v>
      </c>
      <c r="C22" s="13" t="s">
        <v>53</v>
      </c>
      <c r="D22" s="7" t="s">
        <v>260</v>
      </c>
      <c r="E22" s="4"/>
    </row>
    <row r="23" spans="1:5" ht="24" customHeight="1">
      <c r="A23" s="9" t="s">
        <v>277</v>
      </c>
      <c r="B23" s="8">
        <v>1</v>
      </c>
      <c r="C23" s="16" t="s">
        <v>53</v>
      </c>
      <c r="D23" s="8" t="s">
        <v>260</v>
      </c>
      <c r="E23" s="9"/>
    </row>
    <row r="24" spans="1:5" ht="24" customHeight="1">
      <c r="A24" s="4" t="s">
        <v>278</v>
      </c>
      <c r="B24" s="7">
        <v>1</v>
      </c>
      <c r="C24" s="13" t="s">
        <v>53</v>
      </c>
      <c r="D24" s="7" t="s">
        <v>260</v>
      </c>
      <c r="E24" s="4"/>
    </row>
    <row r="25" spans="1:5" ht="24" customHeight="1">
      <c r="A25" s="9" t="s">
        <v>279</v>
      </c>
      <c r="B25" s="8">
        <v>1</v>
      </c>
      <c r="C25" s="16" t="s">
        <v>59</v>
      </c>
      <c r="D25" s="8" t="s">
        <v>260</v>
      </c>
      <c r="E25" s="9"/>
    </row>
    <row r="26" spans="1:5" ht="24" customHeight="1">
      <c r="A26" s="4" t="s">
        <v>280</v>
      </c>
      <c r="B26" s="7">
        <v>1</v>
      </c>
      <c r="C26" s="13" t="s">
        <v>53</v>
      </c>
      <c r="D26" s="7" t="s">
        <v>260</v>
      </c>
      <c r="E26" s="4"/>
    </row>
    <row r="27" spans="1:5" ht="24" customHeight="1">
      <c r="A27" s="9" t="s">
        <v>281</v>
      </c>
      <c r="B27" s="8">
        <v>4</v>
      </c>
      <c r="C27" s="16" t="s">
        <v>59</v>
      </c>
      <c r="D27" s="8" t="s">
        <v>260</v>
      </c>
      <c r="E27" s="9"/>
    </row>
    <row r="28" spans="1:5" ht="24" customHeight="1">
      <c r="A28" s="4" t="s">
        <v>282</v>
      </c>
      <c r="B28" s="7">
        <v>1</v>
      </c>
      <c r="C28" s="13" t="s">
        <v>59</v>
      </c>
      <c r="D28" s="7" t="s">
        <v>260</v>
      </c>
      <c r="E28" s="4"/>
    </row>
    <row r="29" spans="1:5" ht="24" customHeight="1">
      <c r="A29" s="9" t="s">
        <v>283</v>
      </c>
      <c r="B29" s="8">
        <v>1</v>
      </c>
      <c r="C29" s="16" t="s">
        <v>53</v>
      </c>
      <c r="D29" s="8" t="s">
        <v>260</v>
      </c>
      <c r="E29" s="9"/>
    </row>
    <row r="30" spans="1:5" ht="24" customHeight="1">
      <c r="A30" s="4" t="s">
        <v>284</v>
      </c>
      <c r="B30" s="7">
        <v>1</v>
      </c>
      <c r="C30" s="13" t="s">
        <v>53</v>
      </c>
      <c r="D30" s="7" t="s">
        <v>260</v>
      </c>
      <c r="E30" s="4"/>
    </row>
    <row r="31" spans="1:5" ht="24" customHeight="1">
      <c r="A31" s="9" t="s">
        <v>285</v>
      </c>
      <c r="B31" s="8">
        <v>1</v>
      </c>
      <c r="C31" s="16" t="s">
        <v>53</v>
      </c>
      <c r="D31" s="8" t="s">
        <v>260</v>
      </c>
      <c r="E31" s="9"/>
    </row>
    <row r="32" spans="1:5" ht="24" customHeight="1">
      <c r="A32" s="4" t="s">
        <v>286</v>
      </c>
      <c r="B32" s="7">
        <v>6</v>
      </c>
      <c r="C32" s="13" t="s">
        <v>53</v>
      </c>
      <c r="D32" s="7" t="s">
        <v>260</v>
      </c>
      <c r="E32" s="4"/>
    </row>
    <row r="33" spans="1:5" ht="24" customHeight="1">
      <c r="A33" s="9" t="s">
        <v>287</v>
      </c>
      <c r="B33" s="8">
        <v>1</v>
      </c>
      <c r="C33" s="16" t="s">
        <v>53</v>
      </c>
      <c r="D33" s="8" t="s">
        <v>260</v>
      </c>
      <c r="E33" s="9"/>
    </row>
    <row r="34" spans="1:5" ht="24" customHeight="1">
      <c r="A34" s="4" t="s">
        <v>288</v>
      </c>
      <c r="B34" s="7">
        <v>1</v>
      </c>
      <c r="C34" s="13" t="s">
        <v>53</v>
      </c>
      <c r="D34" s="7" t="s">
        <v>260</v>
      </c>
      <c r="E34" s="4"/>
    </row>
  </sheetData>
  <mergeCells count="1">
    <mergeCell ref="A4:E4"/>
  </mergeCells>
  <dataValidations count="58">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 type="list" allowBlank="1" showInputMessage="1" sqref="C24">
      <formula1>'2. Roster &amp; Roles'!$A$6:$A$25</formula1>
    </dataValidation>
    <dataValidation type="list" allowBlank="1" showInputMessage="1" showErrorMessage="1" sqref="D24">
      <formula1>"To Buy,Pending,Packed"</formula1>
    </dataValidation>
    <dataValidation type="list" allowBlank="1" showInputMessage="1" sqref="C25">
      <formula1>'2. Roster &amp; Roles'!$A$6:$A$25</formula1>
    </dataValidation>
    <dataValidation type="list" allowBlank="1" showInputMessage="1" showErrorMessage="1" sqref="D25">
      <formula1>"To Buy,Pending,Packed"</formula1>
    </dataValidation>
    <dataValidation type="list" allowBlank="1" showInputMessage="1" sqref="C26">
      <formula1>'2. Roster &amp; Roles'!$A$6:$A$25</formula1>
    </dataValidation>
    <dataValidation type="list" allowBlank="1" showInputMessage="1" showErrorMessage="1" sqref="D26">
      <formula1>"To Buy,Pending,Packed"</formula1>
    </dataValidation>
    <dataValidation type="list" allowBlank="1" showInputMessage="1" sqref="C27">
      <formula1>'2. Roster &amp; Roles'!$A$6:$A$25</formula1>
    </dataValidation>
    <dataValidation type="list" allowBlank="1" showInputMessage="1" showErrorMessage="1" sqref="D27">
      <formula1>"To Buy,Pending,Packed"</formula1>
    </dataValidation>
    <dataValidation type="list" allowBlank="1" showInputMessage="1" sqref="C28">
      <formula1>'2. Roster &amp; Roles'!$A$6:$A$25</formula1>
    </dataValidation>
    <dataValidation type="list" allowBlank="1" showInputMessage="1" showErrorMessage="1" sqref="D28">
      <formula1>"To Buy,Pending,Packed"</formula1>
    </dataValidation>
    <dataValidation type="list" allowBlank="1" showInputMessage="1" sqref="C29">
      <formula1>'2. Roster &amp; Roles'!$A$6:$A$25</formula1>
    </dataValidation>
    <dataValidation type="list" allowBlank="1" showInputMessage="1" showErrorMessage="1" sqref="D29">
      <formula1>"To Buy,Pending,Packed"</formula1>
    </dataValidation>
    <dataValidation type="list" allowBlank="1" showInputMessage="1" sqref="C30">
      <formula1>'2. Roster &amp; Roles'!$A$6:$A$25</formula1>
    </dataValidation>
    <dataValidation type="list" allowBlank="1" showInputMessage="1" showErrorMessage="1" sqref="D30">
      <formula1>"To Buy,Pending,Packed"</formula1>
    </dataValidation>
    <dataValidation type="list" allowBlank="1" showInputMessage="1" sqref="C31">
      <formula1>'2. Roster &amp; Roles'!$A$6:$A$25</formula1>
    </dataValidation>
    <dataValidation type="list" allowBlank="1" showInputMessage="1" showErrorMessage="1" sqref="D31">
      <formula1>"To Buy,Pending,Packed"</formula1>
    </dataValidation>
    <dataValidation type="list" allowBlank="1" showInputMessage="1" sqref="C32">
      <formula1>'2. Roster &amp; Roles'!$A$6:$A$25</formula1>
    </dataValidation>
    <dataValidation type="list" allowBlank="1" showInputMessage="1" showErrorMessage="1" sqref="D32">
      <formula1>"To Buy,Pending,Packed"</formula1>
    </dataValidation>
    <dataValidation type="list" allowBlank="1" showInputMessage="1" sqref="C33">
      <formula1>'2. Roster &amp; Roles'!$A$6:$A$25</formula1>
    </dataValidation>
    <dataValidation type="list" allowBlank="1" showInputMessage="1" showErrorMessage="1" sqref="D33">
      <formula1>"To Buy,Pending,Packed"</formula1>
    </dataValidation>
    <dataValidation type="list" allowBlank="1" showInputMessage="1" sqref="C34">
      <formula1>'2. Roster &amp; Roles'!$A$6:$A$25</formula1>
    </dataValidation>
    <dataValidation type="list" allowBlank="1" showInputMessage="1" showErrorMessage="1" sqref="D34">
      <formula1>"To Buy,Pending,Packed"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A7A6D"/>
  </sheetPr>
  <dimension ref="A1:G20"/>
  <sheetViews>
    <sheetView showGridLines="0" workbookViewId="0"/>
  </sheetViews>
  <sheetFormatPr defaultRowHeight="15"/>
  <cols>
    <col min="1" max="1" width="32.7109375" customWidth="1"/>
    <col min="2" max="3" width="16.7109375" customWidth="1"/>
    <col min="4" max="4" width="20.7109375" customWidth="1"/>
    <col min="5" max="5" width="28.7109375" customWidth="1"/>
    <col min="6" max="6" width="14.7109375" customWidth="1"/>
    <col min="7" max="7" width="35.7109375" customWidth="1"/>
  </cols>
  <sheetData>
    <row r="1" spans="1:7" ht="36" customHeight="1">
      <c r="A1" s="1" t="s">
        <v>289</v>
      </c>
    </row>
    <row r="2" spans="1:7" ht="20" customHeight="1">
      <c r="A2" s="2" t="s">
        <v>290</v>
      </c>
    </row>
    <row r="4" spans="1:7" ht="28" customHeight="1">
      <c r="A4" s="3" t="s">
        <v>291</v>
      </c>
      <c r="B4" s="3"/>
      <c r="C4" s="3"/>
      <c r="D4" s="3"/>
      <c r="E4" s="3"/>
      <c r="F4" s="3"/>
      <c r="G4" s="3"/>
    </row>
    <row r="5" spans="1:7" ht="26" customHeight="1">
      <c r="A5" s="6" t="s">
        <v>256</v>
      </c>
      <c r="B5" s="6" t="s">
        <v>292</v>
      </c>
      <c r="C5" s="6" t="s">
        <v>293</v>
      </c>
      <c r="D5" s="6" t="s">
        <v>294</v>
      </c>
      <c r="E5" s="6" t="s">
        <v>85</v>
      </c>
      <c r="F5" s="6" t="s">
        <v>167</v>
      </c>
      <c r="G5" s="6" t="s">
        <v>168</v>
      </c>
    </row>
    <row r="6" spans="1:7" ht="24" customHeight="1">
      <c r="A6" s="4" t="s">
        <v>295</v>
      </c>
      <c r="B6" s="14" t="s">
        <v>296</v>
      </c>
      <c r="C6" s="11" t="s">
        <v>297</v>
      </c>
      <c r="D6" s="12" t="s">
        <v>127</v>
      </c>
      <c r="E6" s="13" t="s">
        <v>55</v>
      </c>
      <c r="F6" s="7" t="s">
        <v>260</v>
      </c>
      <c r="G6" s="4"/>
    </row>
    <row r="7" spans="1:7" ht="24" customHeight="1">
      <c r="A7" s="9" t="s">
        <v>298</v>
      </c>
      <c r="B7" s="14" t="s">
        <v>296</v>
      </c>
      <c r="C7" s="11" t="s">
        <v>297</v>
      </c>
      <c r="D7" s="15" t="s">
        <v>127</v>
      </c>
      <c r="E7" s="16" t="s">
        <v>53</v>
      </c>
      <c r="F7" s="8" t="s">
        <v>260</v>
      </c>
      <c r="G7" s="9"/>
    </row>
    <row r="8" spans="1:7" ht="24" customHeight="1">
      <c r="A8" s="4" t="s">
        <v>299</v>
      </c>
      <c r="B8" s="14" t="s">
        <v>296</v>
      </c>
      <c r="C8" s="11" t="s">
        <v>297</v>
      </c>
      <c r="D8" s="12" t="s">
        <v>127</v>
      </c>
      <c r="E8" s="13" t="s">
        <v>53</v>
      </c>
      <c r="F8" s="7" t="s">
        <v>260</v>
      </c>
      <c r="G8" s="4"/>
    </row>
    <row r="9" spans="1:7" ht="24" customHeight="1">
      <c r="A9" s="9" t="s">
        <v>300</v>
      </c>
      <c r="B9" s="14" t="s">
        <v>296</v>
      </c>
      <c r="C9" s="11" t="s">
        <v>297</v>
      </c>
      <c r="D9" s="15" t="s">
        <v>127</v>
      </c>
      <c r="E9" s="16" t="s">
        <v>55</v>
      </c>
      <c r="F9" s="8" t="s">
        <v>260</v>
      </c>
      <c r="G9" s="9"/>
    </row>
    <row r="10" spans="1:7" ht="24" customHeight="1">
      <c r="A10" s="4" t="s">
        <v>301</v>
      </c>
      <c r="B10" s="14" t="s">
        <v>302</v>
      </c>
      <c r="C10" s="11">
        <f>'1. Settings &amp; Leaders'!$B$8</f>
        <v>0</v>
      </c>
      <c r="D10" s="12" t="s">
        <v>109</v>
      </c>
      <c r="E10" s="13" t="s">
        <v>55</v>
      </c>
      <c r="F10" s="7" t="s">
        <v>260</v>
      </c>
      <c r="G10" s="4"/>
    </row>
    <row r="11" spans="1:7" ht="24" customHeight="1">
      <c r="A11" s="9" t="s">
        <v>303</v>
      </c>
      <c r="B11" s="14" t="s">
        <v>304</v>
      </c>
      <c r="C11" s="11">
        <f>'1. Settings &amp; Leaders'!$B$11</f>
        <v>0</v>
      </c>
      <c r="D11" s="15" t="s">
        <v>109</v>
      </c>
      <c r="E11" s="16" t="s">
        <v>53</v>
      </c>
      <c r="F11" s="8" t="s">
        <v>260</v>
      </c>
      <c r="G11" s="9"/>
    </row>
    <row r="12" spans="1:7" ht="24" customHeight="1">
      <c r="A12" s="4" t="s">
        <v>305</v>
      </c>
      <c r="B12" s="14" t="s">
        <v>296</v>
      </c>
      <c r="C12" s="11" t="s">
        <v>297</v>
      </c>
      <c r="D12" s="12" t="s">
        <v>152</v>
      </c>
      <c r="E12" s="13" t="s">
        <v>57</v>
      </c>
      <c r="F12" s="7" t="s">
        <v>260</v>
      </c>
      <c r="G12" s="4"/>
    </row>
    <row r="13" spans="1:7" ht="24" customHeight="1">
      <c r="A13" s="9" t="s">
        <v>306</v>
      </c>
      <c r="B13" s="14" t="s">
        <v>304</v>
      </c>
      <c r="C13" s="11">
        <f>'1. Settings &amp; Leaders'!$B$11</f>
        <v>0</v>
      </c>
      <c r="D13" s="15" t="s">
        <v>131</v>
      </c>
      <c r="E13" s="16" t="s">
        <v>74</v>
      </c>
      <c r="F13" s="8" t="s">
        <v>260</v>
      </c>
      <c r="G13" s="9"/>
    </row>
    <row r="14" spans="1:7" ht="24" customHeight="1">
      <c r="A14" s="4" t="s">
        <v>307</v>
      </c>
      <c r="B14" s="14" t="s">
        <v>304</v>
      </c>
      <c r="C14" s="11">
        <f>'1. Settings &amp; Leaders'!$B$11</f>
        <v>0</v>
      </c>
      <c r="D14" s="12" t="s">
        <v>95</v>
      </c>
      <c r="E14" s="13" t="s">
        <v>57</v>
      </c>
      <c r="F14" s="7" t="s">
        <v>260</v>
      </c>
      <c r="G14" s="4"/>
    </row>
    <row r="15" spans="1:7" ht="24" customHeight="1">
      <c r="A15" s="9" t="s">
        <v>308</v>
      </c>
      <c r="B15" s="14" t="s">
        <v>296</v>
      </c>
      <c r="C15" s="11" t="s">
        <v>297</v>
      </c>
      <c r="D15" s="15" t="s">
        <v>95</v>
      </c>
      <c r="E15" s="16" t="s">
        <v>57</v>
      </c>
      <c r="F15" s="8" t="s">
        <v>260</v>
      </c>
      <c r="G15" s="9"/>
    </row>
    <row r="16" spans="1:7" ht="24" customHeight="1">
      <c r="A16" s="4" t="s">
        <v>309</v>
      </c>
      <c r="B16" s="14" t="s">
        <v>310</v>
      </c>
      <c r="C16" s="11">
        <f>CEILING('1. Settings &amp; Leaders'!$B$11/2,0.5)</f>
        <v>0</v>
      </c>
      <c r="D16" s="12" t="s">
        <v>99</v>
      </c>
      <c r="E16" s="13" t="s">
        <v>53</v>
      </c>
      <c r="F16" s="7" t="s">
        <v>260</v>
      </c>
      <c r="G16" s="4"/>
    </row>
    <row r="17" spans="1:7" ht="24" customHeight="1">
      <c r="A17" s="9" t="s">
        <v>311</v>
      </c>
      <c r="B17" s="14" t="s">
        <v>304</v>
      </c>
      <c r="C17" s="11">
        <f>'1. Settings &amp; Leaders'!$B$11</f>
        <v>0</v>
      </c>
      <c r="D17" s="15" t="s">
        <v>99</v>
      </c>
      <c r="E17" s="16" t="s">
        <v>53</v>
      </c>
      <c r="F17" s="8" t="s">
        <v>260</v>
      </c>
      <c r="G17" s="9"/>
    </row>
    <row r="18" spans="1:7" ht="24" customHeight="1">
      <c r="A18" s="4" t="s">
        <v>312</v>
      </c>
      <c r="B18" s="14" t="s">
        <v>304</v>
      </c>
      <c r="C18" s="11">
        <f>'1. Settings &amp; Leaders'!$B$11</f>
        <v>0</v>
      </c>
      <c r="D18" s="12" t="s">
        <v>99</v>
      </c>
      <c r="E18" s="13" t="s">
        <v>53</v>
      </c>
      <c r="F18" s="7" t="s">
        <v>260</v>
      </c>
      <c r="G18" s="4"/>
    </row>
    <row r="19" spans="1:7" ht="24" customHeight="1">
      <c r="A19" s="9" t="s">
        <v>313</v>
      </c>
      <c r="B19" s="14" t="s">
        <v>314</v>
      </c>
      <c r="C19" s="11">
        <f>'1. Settings &amp; Leaders'!$B$11*2</f>
        <v>0</v>
      </c>
      <c r="D19" s="15" t="s">
        <v>99</v>
      </c>
      <c r="E19" s="16" t="s">
        <v>53</v>
      </c>
      <c r="F19" s="8" t="s">
        <v>260</v>
      </c>
      <c r="G19" s="9"/>
    </row>
    <row r="20" spans="1:7" ht="24" customHeight="1">
      <c r="A20" s="4" t="s">
        <v>315</v>
      </c>
      <c r="B20" s="14" t="s">
        <v>314</v>
      </c>
      <c r="C20" s="11">
        <f>'1. Settings &amp; Leaders'!$B$11*2</f>
        <v>0</v>
      </c>
      <c r="D20" s="12" t="s">
        <v>99</v>
      </c>
      <c r="E20" s="13" t="s">
        <v>53</v>
      </c>
      <c r="F20" s="7" t="s">
        <v>260</v>
      </c>
      <c r="G20" s="4"/>
    </row>
  </sheetData>
  <mergeCells count="1">
    <mergeCell ref="A4:G4"/>
  </mergeCells>
  <dataValidations count="45">
    <dataValidation type="list" allowBlank="1" showInputMessage="1" sqref="D6">
      <formula1>'3. Detailed Timetable'!$E$8:$E$40</formula1>
    </dataValidation>
    <dataValidation type="list" allowBlank="1" showInputMessage="1" sqref="E6">
      <formula1>'2. Roster &amp; Roles'!$A$6:$A$25</formula1>
    </dataValidation>
    <dataValidation type="list" allowBlank="1" showInputMessage="1" showErrorMessage="1" sqref="F6">
      <formula1>"To Buy,Pending,Packed"</formula1>
    </dataValidation>
    <dataValidation type="list" allowBlank="1" showInputMessage="1" sqref="D7">
      <formula1>'3. Detailed Timetable'!$E$8:$E$40</formula1>
    </dataValidation>
    <dataValidation type="list" allowBlank="1" showInputMessage="1" sqref="E7">
      <formula1>'2. Roster &amp; Roles'!$A$6:$A$25</formula1>
    </dataValidation>
    <dataValidation type="list" allowBlank="1" showInputMessage="1" showErrorMessage="1" sqref="F7">
      <formula1>"To Buy,Pending,Packed"</formula1>
    </dataValidation>
    <dataValidation type="list" allowBlank="1" showInputMessage="1" sqref="D8">
      <formula1>'3. Detailed Timetable'!$E$8:$E$40</formula1>
    </dataValidation>
    <dataValidation type="list" allowBlank="1" showInputMessage="1" sqref="E8">
      <formula1>'2. Roster &amp; Roles'!$A$6:$A$25</formula1>
    </dataValidation>
    <dataValidation type="list" allowBlank="1" showInputMessage="1" showErrorMessage="1" sqref="F8">
      <formula1>"To Buy,Pending,Packed"</formula1>
    </dataValidation>
    <dataValidation type="list" allowBlank="1" showInputMessage="1" sqref="D9">
      <formula1>'3. Detailed Timetable'!$E$8:$E$40</formula1>
    </dataValidation>
    <dataValidation type="list" allowBlank="1" showInputMessage="1" sqref="E9">
      <formula1>'2. Roster &amp; Roles'!$A$6:$A$25</formula1>
    </dataValidation>
    <dataValidation type="list" allowBlank="1" showInputMessage="1" showErrorMessage="1" sqref="F9">
      <formula1>"To Buy,Pending,Packed"</formula1>
    </dataValidation>
    <dataValidation type="list" allowBlank="1" showInputMessage="1" sqref="D10">
      <formula1>'3. Detailed Timetable'!$E$8:$E$40</formula1>
    </dataValidation>
    <dataValidation type="list" allowBlank="1" showInputMessage="1" sqref="E10">
      <formula1>'2. Roster &amp; Roles'!$A$6:$A$25</formula1>
    </dataValidation>
    <dataValidation type="list" allowBlank="1" showInputMessage="1" showErrorMessage="1" sqref="F10">
      <formula1>"To Buy,Pending,Packed"</formula1>
    </dataValidation>
    <dataValidation type="list" allowBlank="1" showInputMessage="1" sqref="D11">
      <formula1>'3. Detailed Timetable'!$E$8:$E$40</formula1>
    </dataValidation>
    <dataValidation type="list" allowBlank="1" showInputMessage="1" sqref="E11">
      <formula1>'2. Roster &amp; Roles'!$A$6:$A$25</formula1>
    </dataValidation>
    <dataValidation type="list" allowBlank="1" showInputMessage="1" showErrorMessage="1" sqref="F11">
      <formula1>"To Buy,Pending,Packed"</formula1>
    </dataValidation>
    <dataValidation type="list" allowBlank="1" showInputMessage="1" sqref="D12">
      <formula1>'3. Detailed Timetable'!$E$8:$E$40</formula1>
    </dataValidation>
    <dataValidation type="list" allowBlank="1" showInputMessage="1" sqref="E12">
      <formula1>'2. Roster &amp; Roles'!$A$6:$A$25</formula1>
    </dataValidation>
    <dataValidation type="list" allowBlank="1" showInputMessage="1" showErrorMessage="1" sqref="F12">
      <formula1>"To Buy,Pending,Packed"</formula1>
    </dataValidation>
    <dataValidation type="list" allowBlank="1" showInputMessage="1" sqref="D13">
      <formula1>'3. Detailed Timetable'!$E$8:$E$40</formula1>
    </dataValidation>
    <dataValidation type="list" allowBlank="1" showInputMessage="1" sqref="E13">
      <formula1>'2. Roster &amp; Roles'!$A$6:$A$25</formula1>
    </dataValidation>
    <dataValidation type="list" allowBlank="1" showInputMessage="1" showErrorMessage="1" sqref="F13">
      <formula1>"To Buy,Pending,Packed"</formula1>
    </dataValidation>
    <dataValidation type="list" allowBlank="1" showInputMessage="1" sqref="D14">
      <formula1>'3. Detailed Timetable'!$E$8:$E$40</formula1>
    </dataValidation>
    <dataValidation type="list" allowBlank="1" showInputMessage="1" sqref="E14">
      <formula1>'2. Roster &amp; Roles'!$A$6:$A$25</formula1>
    </dataValidation>
    <dataValidation type="list" allowBlank="1" showInputMessage="1" showErrorMessage="1" sqref="F14">
      <formula1>"To Buy,Pending,Packed"</formula1>
    </dataValidation>
    <dataValidation type="list" allowBlank="1" showInputMessage="1" sqref="D15">
      <formula1>'3. Detailed Timetable'!$E$8:$E$40</formula1>
    </dataValidation>
    <dataValidation type="list" allowBlank="1" showInputMessage="1" sqref="E15">
      <formula1>'2. Roster &amp; Roles'!$A$6:$A$25</formula1>
    </dataValidation>
    <dataValidation type="list" allowBlank="1" showInputMessage="1" showErrorMessage="1" sqref="F15">
      <formula1>"To Buy,Pending,Packed"</formula1>
    </dataValidation>
    <dataValidation type="list" allowBlank="1" showInputMessage="1" sqref="D16">
      <formula1>'3. Detailed Timetable'!$E$8:$E$40</formula1>
    </dataValidation>
    <dataValidation type="list" allowBlank="1" showInputMessage="1" sqref="E16">
      <formula1>'2. Roster &amp; Roles'!$A$6:$A$25</formula1>
    </dataValidation>
    <dataValidation type="list" allowBlank="1" showInputMessage="1" showErrorMessage="1" sqref="F16">
      <formula1>"To Buy,Pending,Packed"</formula1>
    </dataValidation>
    <dataValidation type="list" allowBlank="1" showInputMessage="1" sqref="D17">
      <formula1>'3. Detailed Timetable'!$E$8:$E$40</formula1>
    </dataValidation>
    <dataValidation type="list" allowBlank="1" showInputMessage="1" sqref="E17">
      <formula1>'2. Roster &amp; Roles'!$A$6:$A$25</formula1>
    </dataValidation>
    <dataValidation type="list" allowBlank="1" showInputMessage="1" showErrorMessage="1" sqref="F17">
      <formula1>"To Buy,Pending,Packed"</formula1>
    </dataValidation>
    <dataValidation type="list" allowBlank="1" showInputMessage="1" sqref="D18">
      <formula1>'3. Detailed Timetable'!$E$8:$E$40</formula1>
    </dataValidation>
    <dataValidation type="list" allowBlank="1" showInputMessage="1" sqref="E18">
      <formula1>'2. Roster &amp; Roles'!$A$6:$A$25</formula1>
    </dataValidation>
    <dataValidation type="list" allowBlank="1" showInputMessage="1" showErrorMessage="1" sqref="F18">
      <formula1>"To Buy,Pending,Packed"</formula1>
    </dataValidation>
    <dataValidation type="list" allowBlank="1" showInputMessage="1" sqref="D19">
      <formula1>'3. Detailed Timetable'!$E$8:$E$40</formula1>
    </dataValidation>
    <dataValidation type="list" allowBlank="1" showInputMessage="1" sqref="E19">
      <formula1>'2. Roster &amp; Roles'!$A$6:$A$25</formula1>
    </dataValidation>
    <dataValidation type="list" allowBlank="1" showInputMessage="1" showErrorMessage="1" sqref="F19">
      <formula1>"To Buy,Pending,Packed"</formula1>
    </dataValidation>
    <dataValidation type="list" allowBlank="1" showInputMessage="1" sqref="D20">
      <formula1>'3. Detailed Timetable'!$E$8:$E$40</formula1>
    </dataValidation>
    <dataValidation type="list" allowBlank="1" showInputMessage="1" sqref="E20">
      <formula1>'2. Roster &amp; Roles'!$A$6:$A$25</formula1>
    </dataValidation>
    <dataValidation type="list" allowBlank="1" showInputMessage="1" showErrorMessage="1" sqref="F20">
      <formula1>"To Buy,Pending,Packed"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C0542F"/>
  </sheetPr>
  <dimension ref="A1:E23"/>
  <sheetViews>
    <sheetView showGridLines="0" workbookViewId="0"/>
  </sheetViews>
  <sheetFormatPr defaultRowHeight="15"/>
  <cols>
    <col min="1" max="1" width="30.7109375" customWidth="1"/>
    <col min="2" max="2" width="22.7109375" customWidth="1"/>
    <col min="3" max="3" width="24.7109375" customWidth="1"/>
    <col min="4" max="4" width="14.7109375" customWidth="1"/>
    <col min="5" max="5" width="35.7109375" customWidth="1"/>
  </cols>
  <sheetData>
    <row r="1" spans="1:5" ht="36" customHeight="1">
      <c r="A1" s="1" t="s">
        <v>316</v>
      </c>
    </row>
    <row r="2" spans="1:5" ht="20" customHeight="1">
      <c r="A2" s="2" t="s">
        <v>317</v>
      </c>
    </row>
    <row r="4" spans="1:5" ht="28" customHeight="1">
      <c r="A4" s="3" t="s">
        <v>318</v>
      </c>
      <c r="B4" s="3"/>
      <c r="C4" s="3"/>
      <c r="D4" s="3"/>
      <c r="E4" s="3"/>
    </row>
    <row r="5" spans="1:5" ht="26" customHeight="1">
      <c r="A5" s="6" t="s">
        <v>256</v>
      </c>
      <c r="B5" s="6" t="s">
        <v>319</v>
      </c>
      <c r="C5" s="6" t="s">
        <v>85</v>
      </c>
      <c r="D5" s="6" t="s">
        <v>167</v>
      </c>
      <c r="E5" s="6" t="s">
        <v>168</v>
      </c>
    </row>
    <row r="6" spans="1:5" ht="26" customHeight="1">
      <c r="A6" s="4" t="s">
        <v>320</v>
      </c>
      <c r="B6" s="11">
        <f>'1. Settings &amp; Leaders'!$B$11&amp;" portions"</f>
        <v>0</v>
      </c>
      <c r="C6" s="13" t="s">
        <v>59</v>
      </c>
      <c r="D6" s="7" t="s">
        <v>260</v>
      </c>
      <c r="E6" s="4"/>
    </row>
    <row r="7" spans="1:5" ht="26" customHeight="1">
      <c r="A7" s="9" t="s">
        <v>321</v>
      </c>
      <c r="B7" s="11">
        <f>ROUNDUP('1. Settings &amp; Leaders'!$B$11/20,0)&amp;" jars"</f>
        <v>0</v>
      </c>
      <c r="C7" s="16" t="s">
        <v>59</v>
      </c>
      <c r="D7" s="8" t="s">
        <v>260</v>
      </c>
      <c r="E7" s="9"/>
    </row>
    <row r="8" spans="1:5" ht="26" customHeight="1">
      <c r="A8" s="4" t="s">
        <v>322</v>
      </c>
      <c r="B8" s="11">
        <f>ROUNDUP('1. Settings &amp; Leaders'!$B$11/40,0)&amp;" Kg"</f>
        <v>0</v>
      </c>
      <c r="C8" s="13" t="s">
        <v>59</v>
      </c>
      <c r="D8" s="7" t="s">
        <v>260</v>
      </c>
      <c r="E8" s="4"/>
    </row>
    <row r="9" spans="1:5" ht="26" customHeight="1">
      <c r="A9" s="9" t="s">
        <v>323</v>
      </c>
      <c r="B9" s="11">
        <f>ROUNDUP('1. Settings &amp; Leaders'!$B$11*0.28,0)&amp;" L"</f>
        <v>0</v>
      </c>
      <c r="C9" s="16" t="s">
        <v>59</v>
      </c>
      <c r="D9" s="8" t="s">
        <v>260</v>
      </c>
      <c r="E9" s="9"/>
    </row>
    <row r="10" spans="1:5" ht="26" customHeight="1">
      <c r="A10" s="4" t="s">
        <v>324</v>
      </c>
      <c r="B10" s="7" t="s">
        <v>325</v>
      </c>
      <c r="C10" s="13" t="s">
        <v>59</v>
      </c>
      <c r="D10" s="7" t="s">
        <v>260</v>
      </c>
      <c r="E10" s="4"/>
    </row>
    <row r="11" spans="1:5" ht="26" customHeight="1">
      <c r="A11" s="9" t="s">
        <v>326</v>
      </c>
      <c r="B11" s="11">
        <f>ROUNDUP('1. Settings &amp; Leaders'!$B$11/6,0)&amp;" boxes"</f>
        <v>0</v>
      </c>
      <c r="C11" s="16" t="s">
        <v>59</v>
      </c>
      <c r="D11" s="8" t="s">
        <v>260</v>
      </c>
      <c r="E11" s="9"/>
    </row>
    <row r="12" spans="1:5" ht="26" customHeight="1">
      <c r="A12" s="4" t="s">
        <v>327</v>
      </c>
      <c r="B12" s="11">
        <f>ROUNDUP('1. Settings &amp; Leaders'!$B$11/7,0)&amp;" bags"</f>
        <v>0</v>
      </c>
      <c r="C12" s="13" t="s">
        <v>59</v>
      </c>
      <c r="D12" s="7" t="s">
        <v>260</v>
      </c>
      <c r="E12" s="4"/>
    </row>
    <row r="13" spans="1:5" ht="26" customHeight="1">
      <c r="A13" s="9" t="s">
        <v>328</v>
      </c>
      <c r="B13" s="11">
        <f>ROUNDUP('1. Settings &amp; Leaders'!$B$11/14,0)&amp;" × 300g pkts"</f>
        <v>0</v>
      </c>
      <c r="C13" s="16" t="s">
        <v>59</v>
      </c>
      <c r="D13" s="8" t="s">
        <v>260</v>
      </c>
      <c r="E13" s="9"/>
    </row>
    <row r="14" spans="1:5" ht="26" customHeight="1">
      <c r="A14" s="4" t="s">
        <v>329</v>
      </c>
      <c r="B14" s="7" t="s">
        <v>325</v>
      </c>
      <c r="C14" s="13" t="s">
        <v>59</v>
      </c>
      <c r="D14" s="7" t="s">
        <v>260</v>
      </c>
      <c r="E14" s="4"/>
    </row>
    <row r="15" spans="1:5" ht="26" customHeight="1">
      <c r="A15" s="9" t="s">
        <v>330</v>
      </c>
      <c r="B15" s="8" t="s">
        <v>331</v>
      </c>
      <c r="C15" s="16" t="s">
        <v>59</v>
      </c>
      <c r="D15" s="8" t="s">
        <v>260</v>
      </c>
      <c r="E15" s="9"/>
    </row>
    <row r="16" spans="1:5" ht="26" customHeight="1">
      <c r="A16" s="4" t="s">
        <v>332</v>
      </c>
      <c r="B16" s="7" t="s">
        <v>331</v>
      </c>
      <c r="C16" s="13" t="s">
        <v>59</v>
      </c>
      <c r="D16" s="7" t="s">
        <v>260</v>
      </c>
      <c r="E16" s="4"/>
    </row>
    <row r="17" spans="1:5" ht="26" customHeight="1">
      <c r="A17" s="9" t="s">
        <v>333</v>
      </c>
      <c r="B17" s="11">
        <f>ROUNDUP('1. Settings &amp; Leaders'!$B$11/40,0)&amp;" × 500g pkts"</f>
        <v>0</v>
      </c>
      <c r="C17" s="16" t="s">
        <v>59</v>
      </c>
      <c r="D17" s="8" t="s">
        <v>260</v>
      </c>
      <c r="E17" s="9"/>
    </row>
    <row r="18" spans="1:5" ht="26" customHeight="1">
      <c r="A18" s="4" t="s">
        <v>334</v>
      </c>
      <c r="B18" s="11">
        <f>ROUNDUP('1. Settings &amp; Leaders'!$B$11/10,0)&amp;" pkts"</f>
        <v>0</v>
      </c>
      <c r="C18" s="13" t="s">
        <v>59</v>
      </c>
      <c r="D18" s="7" t="s">
        <v>260</v>
      </c>
      <c r="E18" s="4"/>
    </row>
    <row r="19" spans="1:5" ht="26" customHeight="1">
      <c r="A19" s="9" t="s">
        <v>335</v>
      </c>
      <c r="B19" s="8" t="s">
        <v>336</v>
      </c>
      <c r="C19" s="16" t="s">
        <v>59</v>
      </c>
      <c r="D19" s="8" t="s">
        <v>260</v>
      </c>
      <c r="E19" s="9"/>
    </row>
    <row r="20" spans="1:5" ht="26" customHeight="1">
      <c r="A20" s="4" t="s">
        <v>337</v>
      </c>
      <c r="B20" s="7" t="s">
        <v>338</v>
      </c>
      <c r="C20" s="13" t="s">
        <v>59</v>
      </c>
      <c r="D20" s="7" t="s">
        <v>260</v>
      </c>
      <c r="E20" s="4"/>
    </row>
    <row r="21" spans="1:5" ht="26" customHeight="1">
      <c r="A21" s="9" t="s">
        <v>339</v>
      </c>
      <c r="B21" s="11">
        <f>ROUNDUP('1. Settings &amp; Leaders'!$B$11/20,0)&amp;" L"</f>
        <v>0</v>
      </c>
      <c r="C21" s="16" t="s">
        <v>59</v>
      </c>
      <c r="D21" s="8" t="s">
        <v>260</v>
      </c>
      <c r="E21" s="9"/>
    </row>
    <row r="22" spans="1:5" ht="26" customHeight="1">
      <c r="A22" s="4" t="s">
        <v>340</v>
      </c>
      <c r="B22" s="7" t="s">
        <v>341</v>
      </c>
      <c r="C22" s="13" t="s">
        <v>59</v>
      </c>
      <c r="D22" s="7" t="s">
        <v>260</v>
      </c>
      <c r="E22" s="4"/>
    </row>
    <row r="23" spans="1:5" ht="26" customHeight="1">
      <c r="A23" s="9" t="s">
        <v>342</v>
      </c>
      <c r="B23" s="8" t="s">
        <v>343</v>
      </c>
      <c r="C23" s="16" t="s">
        <v>74</v>
      </c>
      <c r="D23" s="8" t="s">
        <v>260</v>
      </c>
      <c r="E23" s="9"/>
    </row>
  </sheetData>
  <mergeCells count="1">
    <mergeCell ref="A4:E4"/>
  </mergeCells>
  <dataValidations count="36">
    <dataValidation type="list" allowBlank="1" showInputMessage="1" sqref="C6">
      <formula1>'2. Roster &amp; Roles'!$A$6:$A$25</formula1>
    </dataValidation>
    <dataValidation type="list" allowBlank="1" showInputMessage="1" showErrorMessage="1" sqref="D6">
      <formula1>"To Buy,Pending,Packed"</formula1>
    </dataValidation>
    <dataValidation type="list" allowBlank="1" showInputMessage="1" sqref="C7">
      <formula1>'2. Roster &amp; Roles'!$A$6:$A$25</formula1>
    </dataValidation>
    <dataValidation type="list" allowBlank="1" showInputMessage="1" showErrorMessage="1" sqref="D7">
      <formula1>"To Buy,Pending,Packed"</formula1>
    </dataValidation>
    <dataValidation type="list" allowBlank="1" showInputMessage="1" sqref="C8">
      <formula1>'2. Roster &amp; Roles'!$A$6:$A$25</formula1>
    </dataValidation>
    <dataValidation type="list" allowBlank="1" showInputMessage="1" showErrorMessage="1" sqref="D8">
      <formula1>"To Buy,Pending,Packed"</formula1>
    </dataValidation>
    <dataValidation type="list" allowBlank="1" showInputMessage="1" sqref="C9">
      <formula1>'2. Roster &amp; Roles'!$A$6:$A$25</formula1>
    </dataValidation>
    <dataValidation type="list" allowBlank="1" showInputMessage="1" showErrorMessage="1" sqref="D9">
      <formula1>"To Buy,Pending,Packed"</formula1>
    </dataValidation>
    <dataValidation type="list" allowBlank="1" showInputMessage="1" sqref="C10">
      <formula1>'2. Roster &amp; Roles'!$A$6:$A$25</formula1>
    </dataValidation>
    <dataValidation type="list" allowBlank="1" showInputMessage="1" showErrorMessage="1" sqref="D10">
      <formula1>"To Buy,Pending,Packed"</formula1>
    </dataValidation>
    <dataValidation type="list" allowBlank="1" showInputMessage="1" sqref="C11">
      <formula1>'2. Roster &amp; Roles'!$A$6:$A$25</formula1>
    </dataValidation>
    <dataValidation type="list" allowBlank="1" showInputMessage="1" showErrorMessage="1" sqref="D11">
      <formula1>"To Buy,Pending,Packed"</formula1>
    </dataValidation>
    <dataValidation type="list" allowBlank="1" showInputMessage="1" sqref="C12">
      <formula1>'2. Roster &amp; Roles'!$A$6:$A$25</formula1>
    </dataValidation>
    <dataValidation type="list" allowBlank="1" showInputMessage="1" showErrorMessage="1" sqref="D12">
      <formula1>"To Buy,Pending,Packed"</formula1>
    </dataValidation>
    <dataValidation type="list" allowBlank="1" showInputMessage="1" sqref="C13">
      <formula1>'2. Roster &amp; Roles'!$A$6:$A$25</formula1>
    </dataValidation>
    <dataValidation type="list" allowBlank="1" showInputMessage="1" showErrorMessage="1" sqref="D13">
      <formula1>"To Buy,Pending,Packed"</formula1>
    </dataValidation>
    <dataValidation type="list" allowBlank="1" showInputMessage="1" sqref="C14">
      <formula1>'2. Roster &amp; Roles'!$A$6:$A$25</formula1>
    </dataValidation>
    <dataValidation type="list" allowBlank="1" showInputMessage="1" showErrorMessage="1" sqref="D14">
      <formula1>"To Buy,Pending,Packed"</formula1>
    </dataValidation>
    <dataValidation type="list" allowBlank="1" showInputMessage="1" sqref="C15">
      <formula1>'2. Roster &amp; Roles'!$A$6:$A$25</formula1>
    </dataValidation>
    <dataValidation type="list" allowBlank="1" showInputMessage="1" showErrorMessage="1" sqref="D15">
      <formula1>"To Buy,Pending,Packed"</formula1>
    </dataValidation>
    <dataValidation type="list" allowBlank="1" showInputMessage="1" sqref="C16">
      <formula1>'2. Roster &amp; Roles'!$A$6:$A$25</formula1>
    </dataValidation>
    <dataValidation type="list" allowBlank="1" showInputMessage="1" showErrorMessage="1" sqref="D16">
      <formula1>"To Buy,Pending,Packed"</formula1>
    </dataValidation>
    <dataValidation type="list" allowBlank="1" showInputMessage="1" sqref="C17">
      <formula1>'2. Roster &amp; Roles'!$A$6:$A$25</formula1>
    </dataValidation>
    <dataValidation type="list" allowBlank="1" showInputMessage="1" showErrorMessage="1" sqref="D17">
      <formula1>"To Buy,Pending,Packed"</formula1>
    </dataValidation>
    <dataValidation type="list" allowBlank="1" showInputMessage="1" sqref="C18">
      <formula1>'2. Roster &amp; Roles'!$A$6:$A$25</formula1>
    </dataValidation>
    <dataValidation type="list" allowBlank="1" showInputMessage="1" showErrorMessage="1" sqref="D18">
      <formula1>"To Buy,Pending,Packed"</formula1>
    </dataValidation>
    <dataValidation type="list" allowBlank="1" showInputMessage="1" sqref="C19">
      <formula1>'2. Roster &amp; Roles'!$A$6:$A$25</formula1>
    </dataValidation>
    <dataValidation type="list" allowBlank="1" showInputMessage="1" showErrorMessage="1" sqref="D19">
      <formula1>"To Buy,Pending,Packed"</formula1>
    </dataValidation>
    <dataValidation type="list" allowBlank="1" showInputMessage="1" sqref="C20">
      <formula1>'2. Roster &amp; Roles'!$A$6:$A$25</formula1>
    </dataValidation>
    <dataValidation type="list" allowBlank="1" showInputMessage="1" showErrorMessage="1" sqref="D20">
      <formula1>"To Buy,Pending,Packed"</formula1>
    </dataValidation>
    <dataValidation type="list" allowBlank="1" showInputMessage="1" sqref="C21">
      <formula1>'2. Roster &amp; Roles'!$A$6:$A$25</formula1>
    </dataValidation>
    <dataValidation type="list" allowBlank="1" showInputMessage="1" showErrorMessage="1" sqref="D21">
      <formula1>"To Buy,Pending,Packed"</formula1>
    </dataValidation>
    <dataValidation type="list" allowBlank="1" showInputMessage="1" sqref="C22">
      <formula1>'2. Roster &amp; Roles'!$A$6:$A$25</formula1>
    </dataValidation>
    <dataValidation type="list" allowBlank="1" showInputMessage="1" showErrorMessage="1" sqref="D22">
      <formula1>"To Buy,Pending,Packed"</formula1>
    </dataValidation>
    <dataValidation type="list" allowBlank="1" showInputMessage="1" sqref="C23">
      <formula1>'2. Roster &amp; Roles'!$A$6:$A$25</formula1>
    </dataValidation>
    <dataValidation type="list" allowBlank="1" showInputMessage="1" showErrorMessage="1" sqref="D23">
      <formula1>"To Buy,Pending,Packed"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2E7D32"/>
  </sheetPr>
  <dimension ref="A1:D14"/>
  <sheetViews>
    <sheetView showGridLines="0" workbookViewId="0"/>
  </sheetViews>
  <sheetFormatPr defaultRowHeight="15"/>
  <cols>
    <col min="1" max="1" width="22.7109375" customWidth="1"/>
    <col min="2" max="2" width="32.7109375" customWidth="1"/>
    <col min="3" max="3" width="55.7109375" customWidth="1"/>
    <col min="4" max="4" width="45.7109375" customWidth="1"/>
  </cols>
  <sheetData>
    <row r="1" spans="1:4" ht="36" customHeight="1">
      <c r="A1" s="1" t="s">
        <v>344</v>
      </c>
    </row>
    <row r="2" spans="1:4" ht="20" customHeight="1">
      <c r="A2" s="2" t="s">
        <v>345</v>
      </c>
    </row>
    <row r="4" spans="1:4" ht="28" customHeight="1">
      <c r="A4" s="3" t="s">
        <v>346</v>
      </c>
      <c r="B4" s="3"/>
      <c r="C4" s="3"/>
      <c r="D4" s="3"/>
    </row>
    <row r="5" spans="1:4" ht="26" customHeight="1">
      <c r="A5" s="6" t="s">
        <v>83</v>
      </c>
      <c r="B5" s="6" t="s">
        <v>347</v>
      </c>
      <c r="C5" s="6" t="s">
        <v>348</v>
      </c>
      <c r="D5" s="6" t="s">
        <v>349</v>
      </c>
    </row>
    <row r="6" spans="1:4" ht="140" customHeight="1">
      <c r="A6" s="41" t="s">
        <v>92</v>
      </c>
      <c r="B6" s="4" t="s">
        <v>350</v>
      </c>
      <c r="C6" s="4" t="s">
        <v>351</v>
      </c>
      <c r="D6" s="22" t="s">
        <v>352</v>
      </c>
    </row>
    <row r="7" spans="1:4" ht="140" customHeight="1">
      <c r="A7" s="42" t="s">
        <v>95</v>
      </c>
      <c r="B7" s="9" t="s">
        <v>353</v>
      </c>
      <c r="C7" s="9" t="s">
        <v>354</v>
      </c>
      <c r="D7" s="26" t="s">
        <v>355</v>
      </c>
    </row>
    <row r="8" spans="1:4" ht="140" customHeight="1">
      <c r="A8" s="41" t="s">
        <v>109</v>
      </c>
      <c r="B8" s="4" t="s">
        <v>356</v>
      </c>
      <c r="C8" s="4" t="s">
        <v>357</v>
      </c>
      <c r="D8" s="22" t="s">
        <v>358</v>
      </c>
    </row>
    <row r="9" spans="1:4" ht="140" customHeight="1">
      <c r="A9" s="42" t="s">
        <v>113</v>
      </c>
      <c r="B9" s="9" t="s">
        <v>359</v>
      </c>
      <c r="C9" s="9" t="s">
        <v>360</v>
      </c>
      <c r="D9" s="26" t="s">
        <v>361</v>
      </c>
    </row>
    <row r="10" spans="1:4" ht="140" customHeight="1">
      <c r="A10" s="41" t="s">
        <v>127</v>
      </c>
      <c r="B10" s="4" t="s">
        <v>362</v>
      </c>
      <c r="C10" s="4" t="s">
        <v>363</v>
      </c>
      <c r="D10" s="22" t="s">
        <v>364</v>
      </c>
    </row>
    <row r="11" spans="1:4" ht="140" customHeight="1">
      <c r="A11" s="42" t="s">
        <v>131</v>
      </c>
      <c r="B11" s="9" t="s">
        <v>365</v>
      </c>
      <c r="C11" s="9" t="s">
        <v>366</v>
      </c>
      <c r="D11" s="26" t="s">
        <v>367</v>
      </c>
    </row>
    <row r="12" spans="1:4" ht="140" customHeight="1">
      <c r="A12" s="41" t="s">
        <v>134</v>
      </c>
      <c r="B12" s="4" t="s">
        <v>368</v>
      </c>
      <c r="C12" s="4" t="s">
        <v>369</v>
      </c>
      <c r="D12" s="22" t="s">
        <v>370</v>
      </c>
    </row>
    <row r="13" spans="1:4" ht="140" customHeight="1">
      <c r="A13" s="42" t="s">
        <v>141</v>
      </c>
      <c r="B13" s="9" t="s">
        <v>371</v>
      </c>
      <c r="C13" s="9" t="s">
        <v>372</v>
      </c>
      <c r="D13" s="26" t="s">
        <v>373</v>
      </c>
    </row>
    <row r="14" spans="1:4" ht="140" customHeight="1">
      <c r="A14" s="41" t="s">
        <v>152</v>
      </c>
      <c r="B14" s="4" t="s">
        <v>374</v>
      </c>
      <c r="C14" s="4" t="s">
        <v>375</v>
      </c>
      <c r="D14" s="22" t="s">
        <v>376</v>
      </c>
    </row>
  </sheetData>
  <mergeCells count="1">
    <mergeCell ref="A4:D4"/>
  </mergeCells>
  <dataValidations count="9">
    <dataValidation type="list" allowBlank="1" showInputMessage="1" sqref="A6">
      <formula1>'3. Detailed Timetable'!$E$8:$E$40</formula1>
    </dataValidation>
    <dataValidation type="list" allowBlank="1" showInputMessage="1" sqref="A7">
      <formula1>'3. Detailed Timetable'!$E$8:$E$40</formula1>
    </dataValidation>
    <dataValidation type="list" allowBlank="1" showInputMessage="1" sqref="A8">
      <formula1>'3. Detailed Timetable'!$E$8:$E$40</formula1>
    </dataValidation>
    <dataValidation type="list" allowBlank="1" showInputMessage="1" sqref="A9">
      <formula1>'3. Detailed Timetable'!$E$8:$E$40</formula1>
    </dataValidation>
    <dataValidation type="list" allowBlank="1" showInputMessage="1" sqref="A10">
      <formula1>'3. Detailed Timetable'!$E$8:$E$40</formula1>
    </dataValidation>
    <dataValidation type="list" allowBlank="1" showInputMessage="1" sqref="A11">
      <formula1>'3. Detailed Timetable'!$E$8:$E$40</formula1>
    </dataValidation>
    <dataValidation type="list" allowBlank="1" showInputMessage="1" sqref="A12">
      <formula1>'3. Detailed Timetable'!$E$8:$E$40</formula1>
    </dataValidation>
    <dataValidation type="list" allowBlank="1" showInputMessage="1" sqref="A13">
      <formula1>'3. Detailed Timetable'!$E$8:$E$40</formula1>
    </dataValidation>
    <dataValidation type="list" allowBlank="1" showInputMessage="1" sqref="A14">
      <formula1>'3. Detailed Timetable'!$E$8:$E$40</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2E7D32"/>
  </sheetPr>
  <dimension ref="A1:D17"/>
  <sheetViews>
    <sheetView showGridLines="0" workbookViewId="0"/>
  </sheetViews>
  <sheetFormatPr defaultRowHeight="15"/>
  <cols>
    <col min="1" max="1" width="28.7109375" customWidth="1"/>
    <col min="2" max="2" width="18.7109375" customWidth="1"/>
    <col min="3" max="4" width="45.7109375" customWidth="1"/>
  </cols>
  <sheetData>
    <row r="1" spans="1:4" ht="36" customHeight="1">
      <c r="A1" s="1" t="s">
        <v>377</v>
      </c>
    </row>
    <row r="2" spans="1:4" ht="20" customHeight="1">
      <c r="A2" s="2" t="s">
        <v>378</v>
      </c>
    </row>
    <row r="4" spans="1:4" ht="28" customHeight="1">
      <c r="A4" s="3" t="s">
        <v>379</v>
      </c>
      <c r="B4" s="3"/>
      <c r="C4" s="3"/>
      <c r="D4" s="3"/>
    </row>
    <row r="5" spans="1:4" ht="24" customHeight="1">
      <c r="A5" s="6" t="s">
        <v>380</v>
      </c>
      <c r="B5" s="6" t="s">
        <v>381</v>
      </c>
      <c r="C5" s="6" t="s">
        <v>382</v>
      </c>
      <c r="D5" s="6" t="s">
        <v>383</v>
      </c>
    </row>
    <row r="6" spans="1:4" ht="28" customHeight="1">
      <c r="A6" s="12" t="s">
        <v>384</v>
      </c>
      <c r="B6" s="5" t="s">
        <v>385</v>
      </c>
      <c r="C6" s="4" t="s">
        <v>386</v>
      </c>
      <c r="D6" s="4" t="s">
        <v>387</v>
      </c>
    </row>
    <row r="7" spans="1:4" ht="28" customHeight="1">
      <c r="A7" s="15" t="s">
        <v>388</v>
      </c>
      <c r="B7" s="5" t="s">
        <v>385</v>
      </c>
      <c r="C7" s="9" t="s">
        <v>389</v>
      </c>
      <c r="D7" s="9" t="s">
        <v>390</v>
      </c>
    </row>
    <row r="8" spans="1:4" ht="28" customHeight="1">
      <c r="A8" s="12" t="s">
        <v>391</v>
      </c>
      <c r="B8" s="5" t="s">
        <v>392</v>
      </c>
      <c r="C8" s="4" t="s">
        <v>393</v>
      </c>
      <c r="D8" s="4" t="s">
        <v>394</v>
      </c>
    </row>
    <row r="9" spans="1:4" ht="28" customHeight="1">
      <c r="A9" s="15" t="s">
        <v>395</v>
      </c>
      <c r="B9" s="5" t="s">
        <v>385</v>
      </c>
      <c r="C9" s="9" t="s">
        <v>396</v>
      </c>
      <c r="D9" s="9" t="s">
        <v>397</v>
      </c>
    </row>
    <row r="10" spans="1:4" ht="28" customHeight="1">
      <c r="A10" s="12" t="s">
        <v>398</v>
      </c>
      <c r="B10" s="5" t="s">
        <v>385</v>
      </c>
      <c r="C10" s="4" t="s">
        <v>399</v>
      </c>
      <c r="D10" s="4" t="s">
        <v>400</v>
      </c>
    </row>
    <row r="12" spans="1:4" ht="28" customHeight="1">
      <c r="A12" s="3" t="s">
        <v>401</v>
      </c>
      <c r="B12" s="3"/>
      <c r="C12" s="3"/>
      <c r="D12" s="3"/>
    </row>
    <row r="13" spans="1:4" ht="24" customHeight="1">
      <c r="A13" s="6" t="s">
        <v>402</v>
      </c>
      <c r="B13" s="6" t="s">
        <v>403</v>
      </c>
      <c r="C13" s="6" t="s">
        <v>404</v>
      </c>
      <c r="D13" s="6" t="s">
        <v>405</v>
      </c>
    </row>
    <row r="14" spans="1:4" ht="28" customHeight="1">
      <c r="A14" s="12" t="s">
        <v>406</v>
      </c>
      <c r="B14" s="28" t="s">
        <v>407</v>
      </c>
      <c r="C14" s="4" t="s">
        <v>61</v>
      </c>
      <c r="D14" s="4" t="s">
        <v>408</v>
      </c>
    </row>
    <row r="15" spans="1:4" ht="28" customHeight="1">
      <c r="A15" s="15" t="s">
        <v>409</v>
      </c>
      <c r="B15" s="27" t="s">
        <v>407</v>
      </c>
      <c r="C15" s="9" t="s">
        <v>63</v>
      </c>
      <c r="D15" s="9" t="s">
        <v>410</v>
      </c>
    </row>
    <row r="16" spans="1:4" ht="28" customHeight="1">
      <c r="A16" s="12" t="s">
        <v>411</v>
      </c>
      <c r="B16" s="36" t="s">
        <v>412</v>
      </c>
      <c r="C16" s="4" t="s">
        <v>55</v>
      </c>
      <c r="D16" s="4" t="s">
        <v>413</v>
      </c>
    </row>
    <row r="17" spans="1:4" ht="28" customHeight="1">
      <c r="A17" s="15" t="s">
        <v>414</v>
      </c>
      <c r="B17" s="37" t="s">
        <v>412</v>
      </c>
      <c r="C17" s="9" t="s">
        <v>61</v>
      </c>
      <c r="D17" s="9" t="s">
        <v>415</v>
      </c>
    </row>
  </sheetData>
  <mergeCells count="2">
    <mergeCell ref="A4:D4"/>
    <mergeCell ref="A12: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Settings &amp; Leaders</vt:lpstr>
      <vt:lpstr>2. Roster &amp; Roles</vt:lpstr>
      <vt:lpstr>3. Detailed Timetable</vt:lpstr>
      <vt:lpstr>4. Visual Schedule</vt:lpstr>
      <vt:lpstr>5. Pre-Camp Tasks</vt:lpstr>
      <vt:lpstr>6. Emergency &amp; Safety</vt:lpstr>
      <vt:lpstr>7. Camp Equipment</vt:lpstr>
      <vt:lpstr>8. Activity Equipment</vt:lpstr>
      <vt:lpstr>9. Food Shopping</vt:lpstr>
      <vt:lpstr>10. Activity Playbook</vt:lpstr>
      <vt:lpstr>11. Post-Camp Debrief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2026-07-22T10:09:14Z</dcterms:created>
  <dcterms:modified xsi:type="dcterms:W3CDTF">2026-07-22T10:09:14Z</dcterms:modified>
</cp:coreProperties>
</file>
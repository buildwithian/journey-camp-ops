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 Roster &amp; Roles" sheetId="1" r:id="rId1"/>
    <sheet name="2. Dynamic Timetable" sheetId="2" r:id="rId2"/>
    <sheet name="3. Task Checklist" sheetId="3" r:id="rId3"/>
    <sheet name="4. Camp Equipment" sheetId="4" r:id="rId4"/>
    <sheet name="5. Activity Equipment" sheetId="5" r:id="rId5"/>
    <sheet name="6. Food Shopping" sheetId="6" r:id="rId6"/>
    <sheet name="7. Activity Playbook" sheetId="7" r:id="rId7"/>
  </sheet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<sst xmlns="http://schemas.openxmlformats.org/spreadsheetml/2006/main" count="496" uniqueCount="240">
  <si>
    <t>Roles &amp; Volunteer Roster</t>
  </si>
  <si>
    <t>Camp Attendance Variables</t>
  </si>
  <si>
    <t>Dads</t>
  </si>
  <si>
    <t>Daughters</t>
  </si>
  <si>
    <t>Helpers / Leaders</t>
  </si>
  <si>
    <t>Total Participants</t>
  </si>
  <si>
    <t>Role</t>
  </si>
  <si>
    <t>Detailed Description &amp; Default Duties</t>
  </si>
  <si>
    <t>Assigned Leader</t>
  </si>
  <si>
    <t>Contact Number</t>
  </si>
  <si>
    <t>Email</t>
  </si>
  <si>
    <t>Oversight Lead</t>
  </si>
  <si>
    <t>• Ultimate decision-making authority during the camp.
• Handles live issues (emergencies, weather changes).
• Leads high-level reflections and debriefs.</t>
  </si>
  <si>
    <t>Ian Sinclair</t>
  </si>
  <si>
    <t>+27 63 893 9452</t>
  </si>
  <si>
    <t>sinclairian2408@gmail.com</t>
  </si>
  <si>
    <t>Logistics Lead</t>
  </si>
  <si>
    <t>• Manages all physical setup and breakdown.
• Coordinates camp layout, tents/bivvies, fire preparation.</t>
  </si>
  <si>
    <t>Neil Harrower</t>
  </si>
  <si>
    <t>+27 71 950 8363</t>
  </si>
  <si>
    <t>neilharrower@gmail.com</t>
  </si>
  <si>
    <t>Session Coordinator</t>
  </si>
  <si>
    <t>• Facilitates the core structured spiritual/emotional sessions (e.g., Malachi discussion).</t>
  </si>
  <si>
    <t>Marvin Welby-Solomon</t>
  </si>
  <si>
    <t>Activity Facilitator</t>
  </si>
  <si>
    <t>• Brings high energy to run the games and challenges (Clay Latte, Tug of War, Name Games).</t>
  </si>
  <si>
    <t>Kingsley Williams</t>
  </si>
  <si>
    <t>+27 83 260 5311</t>
  </si>
  <si>
    <t>Catering / Fire Lead</t>
  </si>
  <si>
    <t>• For the kick-off camp, both dinner and breakfast will be brought by the father and daughter. The key role here is to ensure the communal fires are started on time and maintained.</t>
  </si>
  <si>
    <t>Kevin de Wet</t>
  </si>
  <si>
    <t>+27 82 908 2460</t>
  </si>
  <si>
    <t>Administration</t>
  </si>
  <si>
    <t>• Handles all paperwork, nametags, and gate-keeping.</t>
  </si>
  <si>
    <t>Paul Barter</t>
  </si>
  <si>
    <t>Youth Track Leader 1</t>
  </si>
  <si>
    <t>• Supports youth-specific activities and engagement during free time.</t>
  </si>
  <si>
    <t>Youth Track Leader 2</t>
  </si>
  <si>
    <t>General Helper 1</t>
  </si>
  <si>
    <t>Assists the Logistics and Catering leads where extra hands are needed.</t>
  </si>
  <si>
    <t>Raldo Kruger</t>
  </si>
  <si>
    <t>+27 84 511 8606</t>
  </si>
  <si>
    <t>General Helper 2</t>
  </si>
  <si>
    <t>Assists the Activity Facilitator and Session Coordinator.</t>
  </si>
  <si>
    <t>Gavin Graham</t>
  </si>
  <si>
    <t>Communion Sub-Leader</t>
  </si>
  <si>
    <t>• Sub-task role to specifically run and administer the communion elements on Sunday morning.</t>
  </si>
  <si>
    <t>Richard Walker</t>
  </si>
  <si>
    <t>Kickoff Camp Run Sheet</t>
  </si>
  <si>
    <t>Change the Camp Start Time below. Live tasks will calculate sequentially. Type into "Manual Start Override" to set a custom time.</t>
  </si>
  <si>
    <t>Camp Start Time:</t>
  </si>
  <si>
    <t>Day</t>
  </si>
  <si>
    <t>Manual Start Override</t>
  </si>
  <si>
    <t>Calculated Start</t>
  </si>
  <si>
    <t>Calculated End</t>
  </si>
  <si>
    <t>Duration (min)</t>
  </si>
  <si>
    <t>Activity Name</t>
  </si>
  <si>
    <t>Full Task Description</t>
  </si>
  <si>
    <t>Linked Equipment</t>
  </si>
  <si>
    <t>Default Role</t>
  </si>
  <si>
    <t>Change Ownership</t>
  </si>
  <si>
    <t>Final Leader</t>
  </si>
  <si>
    <t>Phase</t>
  </si>
  <si>
    <t>Saturday</t>
  </si>
  <si>
    <t>Arrival</t>
  </si>
  <si>
    <t>Arrive at camp, name tags, get to know contacts</t>
  </si>
  <si>
    <t>Ice Breaker</t>
  </si>
  <si>
    <t>Get to know each other (Daughters introduce Fathers, name game)</t>
  </si>
  <si>
    <t>Clay Latte</t>
  </si>
  <si>
    <t>Father and daughter activities (Clay Latte) &amp; Dam swim</t>
  </si>
  <si>
    <t>Activity</t>
  </si>
  <si>
    <t>Camp Setup</t>
  </si>
  <si>
    <t>Set-up shelters, Bivvie equipment, prepare fire</t>
  </si>
  <si>
    <t>Setup</t>
  </si>
  <si>
    <t>Dinner Prep</t>
  </si>
  <si>
    <t>Ensure the fire is started on time and is ready with enough coals for families to cook.</t>
  </si>
  <si>
    <t>Dinner</t>
  </si>
  <si>
    <t>Dads and daughters cook and have supper together</t>
  </si>
  <si>
    <t>Stokbrood</t>
  </si>
  <si>
    <t>Marshmallows and stokbrood at fire, chat about questions</t>
  </si>
  <si>
    <t>Evening</t>
  </si>
  <si>
    <t>Skits &amp; Debrief</t>
  </si>
  <si>
    <t>Present skits and carving, end of evening debrief</t>
  </si>
  <si>
    <t>Wind Down</t>
  </si>
  <si>
    <t>Bed Time</t>
  </si>
  <si>
    <t>Bed time</t>
  </si>
  <si>
    <t>Lights Out</t>
  </si>
  <si>
    <t>Sunday</t>
  </si>
  <si>
    <t>Wake Up</t>
  </si>
  <si>
    <t>Wake up, dam swim, boil kettles, coffee</t>
  </si>
  <si>
    <t>Morning</t>
  </si>
  <si>
    <t>Malachi</t>
  </si>
  <si>
    <t>Malachi discussion (sand demo) and communion</t>
  </si>
  <si>
    <t>Session 1</t>
  </si>
  <si>
    <t>Communion</t>
  </si>
  <si>
    <t>Administer Communion elements</t>
  </si>
  <si>
    <t>Quiet Time</t>
  </si>
  <si>
    <t>Father and Daughter Quiet time (reflect on Malachi)</t>
  </si>
  <si>
    <t>Session 2</t>
  </si>
  <si>
    <t>Breakfast</t>
  </si>
  <si>
    <t>Ensure fire is ready and boiling water is available. Families prepare and eat their own breakfast.</t>
  </si>
  <si>
    <t>Manhood Talk</t>
  </si>
  <si>
    <t>Dad's talk and daughters talk split</t>
  </si>
  <si>
    <t>Session 3</t>
  </si>
  <si>
    <t>Final Debrief</t>
  </si>
  <si>
    <t>Reflection on the sleepover, present carving</t>
  </si>
  <si>
    <t>Debrief</t>
  </si>
  <si>
    <t>Pack Up</t>
  </si>
  <si>
    <t>Pack up camp</t>
  </si>
  <si>
    <t>Tug of War</t>
  </si>
  <si>
    <t>Father and Daughter Activity (Tug of war, Swim)</t>
  </si>
  <si>
    <t>Departure</t>
  </si>
  <si>
    <t>Depart from camp</t>
  </si>
  <si>
    <t>Pre-Camp Task Checklist</t>
  </si>
  <si>
    <t>Action items and pre-planning organization that need to be completed before arrival.</t>
  </si>
  <si>
    <t>Category</t>
  </si>
  <si>
    <t>Task Description</t>
  </si>
  <si>
    <t>Final Assigned</t>
  </si>
  <si>
    <t>Status</t>
  </si>
  <si>
    <t>Pre-Planning</t>
  </si>
  <si>
    <t>Finalize RSVP list and dietary requirements</t>
  </si>
  <si>
    <t>Not Started</t>
  </si>
  <si>
    <t>Review medical forms</t>
  </si>
  <si>
    <t>Purchase all shopping list items (Communal items)</t>
  </si>
  <si>
    <t>Print Name Tags and laminate Father/Daughter questions</t>
  </si>
  <si>
    <t>Confirm venue access codes and final layout</t>
  </si>
  <si>
    <t>Pack all camp equipment, tents, and activities gear</t>
  </si>
  <si>
    <t>Download YouTube Malachi scripture video</t>
  </si>
  <si>
    <t>General Camp Equipment List</t>
  </si>
  <si>
    <t>Items required for general camp setup. These quantities do not typically change based on attendance.</t>
  </si>
  <si>
    <t>Item</t>
  </si>
  <si>
    <t>Qty</t>
  </si>
  <si>
    <t>Purchased/Packed Check</t>
  </si>
  <si>
    <t>Washing bowl</t>
  </si>
  <si>
    <t>1</t>
  </si>
  <si>
    <t>[ ]</t>
  </si>
  <si>
    <t>Dish towel</t>
  </si>
  <si>
    <t>2</t>
  </si>
  <si>
    <t>Dish cloth</t>
  </si>
  <si>
    <t>5</t>
  </si>
  <si>
    <t>Dish scourers</t>
  </si>
  <si>
    <t>Dish washing liquid</t>
  </si>
  <si>
    <t>Chopping board (wooden)</t>
  </si>
  <si>
    <t>4</t>
  </si>
  <si>
    <t>Garbage bags</t>
  </si>
  <si>
    <t>Spade</t>
  </si>
  <si>
    <t>Water Carrier</t>
  </si>
  <si>
    <t>Gas bottles</t>
  </si>
  <si>
    <t>Gas kettle (Large)</t>
  </si>
  <si>
    <t>Gas plate</t>
  </si>
  <si>
    <t>Gas kettle (small)</t>
  </si>
  <si>
    <t>Gas two plater</t>
  </si>
  <si>
    <t>Cutlery set</t>
  </si>
  <si>
    <t>Gas fire starter (rod)</t>
  </si>
  <si>
    <t>First aid</t>
  </si>
  <si>
    <t>Tongs</t>
  </si>
  <si>
    <t>Bodum</t>
  </si>
  <si>
    <t>Braai grid (large)</t>
  </si>
  <si>
    <t>Journey Banner</t>
  </si>
  <si>
    <t>Fire lighter</t>
  </si>
  <si>
    <t>Camping mats</t>
  </si>
  <si>
    <t>6</t>
  </si>
  <si>
    <t>Axe</t>
  </si>
  <si>
    <t>Mallet</t>
  </si>
  <si>
    <t>Activity Specific Equipment List</t>
  </si>
  <si>
    <t>Quantities dynamically adjust based on Total Participants set in Tab 1.</t>
  </si>
  <si>
    <t>Base Formula</t>
  </si>
  <si>
    <t>Calculated Qty</t>
  </si>
  <si>
    <t>Linked Activity</t>
  </si>
  <si>
    <t>Packed Check</t>
  </si>
  <si>
    <t>Prop for earth shaking</t>
  </si>
  <si>
    <t>Static</t>
  </si>
  <si>
    <t>Speaker</t>
  </si>
  <si>
    <t>Projector</t>
  </si>
  <si>
    <t>Downloaded YouTube Malachi video</t>
  </si>
  <si>
    <t>Dad and daughter questions</t>
  </si>
  <si>
    <t>1 per pair</t>
  </si>
  <si>
    <t>Stokbrood Stok</t>
  </si>
  <si>
    <t>1 per person</t>
  </si>
  <si>
    <t>Tug of war rope</t>
  </si>
  <si>
    <t>Communion cups</t>
  </si>
  <si>
    <t>Claylatt</t>
  </si>
  <si>
    <t>Clay - bag</t>
  </si>
  <si>
    <t>Bivvy's (Shelter)</t>
  </si>
  <si>
    <t>Total / 2</t>
  </si>
  <si>
    <t>Latte short (Shelter)</t>
  </si>
  <si>
    <t>Latte long (Shelter)</t>
  </si>
  <si>
    <t>Guy ropes (Shelter)</t>
  </si>
  <si>
    <t>2 per person</t>
  </si>
  <si>
    <t>Pegs (Shelter)</t>
  </si>
  <si>
    <t>Communal Food &amp; Catering Shopping List</t>
  </si>
  <si>
    <t>Quantities dynamically adjust based on Total Participants set in Tab 1. Note: Fathers/Daughters bring their own dinner &amp; breakfast foods.</t>
  </si>
  <si>
    <t>Calculated Qty needed</t>
  </si>
  <si>
    <t>Purchased Check</t>
  </si>
  <si>
    <t>Dough for stokbrood</t>
  </si>
  <si>
    <t>Coffee Instant</t>
  </si>
  <si>
    <t>Coffee Ground</t>
  </si>
  <si>
    <t>Long life milk</t>
  </si>
  <si>
    <t>Sugar</t>
  </si>
  <si>
    <t>1kg</t>
  </si>
  <si>
    <t>Rusks</t>
  </si>
  <si>
    <t>Braai Brood (stok brood)</t>
  </si>
  <si>
    <t>Marshmallows</t>
  </si>
  <si>
    <t>Mieliemeal</t>
  </si>
  <si>
    <t>Rooibos</t>
  </si>
  <si>
    <t>1 box</t>
  </si>
  <si>
    <t>Ceylon</t>
  </si>
  <si>
    <t>Hot chocolate</t>
  </si>
  <si>
    <t>Marie biscuits</t>
  </si>
  <si>
    <t>Tomato sauce</t>
  </si>
  <si>
    <t>2 bottles</t>
  </si>
  <si>
    <t>Syrup</t>
  </si>
  <si>
    <t>1 x 500g</t>
  </si>
  <si>
    <t>Communion juice (Grape)</t>
  </si>
  <si>
    <t>Butro Butter</t>
  </si>
  <si>
    <t>500g</t>
  </si>
  <si>
    <t>Communion loaf</t>
  </si>
  <si>
    <t>1 loaf</t>
  </si>
  <si>
    <t>Activity Playbook</t>
  </si>
  <si>
    <t>Detailed instructions and considerations for the lead running each activity.</t>
  </si>
  <si>
    <t>Goal / Objective</t>
  </si>
  <si>
    <t>Instructions &amp; Lead Considerations</t>
  </si>
  <si>
    <t>Break the initial tension and get everyone laughing and connecting.</t>
  </si>
  <si>
    <t>STEPS:
1. Have daughters introduce their fathers to the group (and vice versa).
2. Play a quick "Name Game" or "Two Truths and a Lie" (Camp Edition).
LEAD CONSIDERATION:
• Keep the energy high and fast-paced.
• Don't let introductions drag on too long.
• Ensure every single person feels seen and heard.</t>
  </si>
  <si>
    <t>Draw fathers and daughters together through teamwork and physical connection.</t>
  </si>
  <si>
    <t>STEPS:
1. Tie the dad and daughter together at the ankles or wrists with a guy rope.
2. Set up an obstacle course or a challenge (e.g. crossing a line while carrying a cup of water, or building a clay structure).
LEAD CONSIDERATION:
• Emphasize that the goal isn't just winning, it's communicating and moving as one unit.
• If frustration builds, pause and remind them to listen to each other.</t>
  </si>
  <si>
    <t>Quality, guided conversational time in a relaxed setting.</t>
  </si>
  <si>
    <t>STEPS:
1. Layout tables, maize meal, dough, stokke (sticks), syrup, and marshmallows near the fire.
2. Ensure the printed question cards are handed out to each pair.
3. As they cook their stokbrood, fathers and daughters use the cards to spark deep conversations.
LEAD CONSIDERATION:
• Keep the fire well-stoked but safe.
• Give families enough physical space around the fire to have private conversations.
• Do not interrupt them once they are deep in conversation.</t>
  </si>
  <si>
    <t>Lighthearted fun followed by grounding the day's experiences.</t>
  </si>
  <si>
    <t>STEPS:
1. Allow 10-15 minutes for groups to prepare a short, funny skit about something that happened today.
2. Follow up by presenting the carving (if applicable) and summarizing the key takeaways from Saturday.
LEAD CONSIDERATION:
• Set a supportive, cheering tone for the skits.
• Transition smoothly from the loud fun of the skits into a calmer, more reflective tone for the debrief before bed.</t>
  </si>
  <si>
    <t>Spiritual reflection on restoration and the turning of hearts.</t>
  </si>
  <si>
    <t>STEPS:
1. Show the downloaded YouTube video of the Malachi scripture (Malachi 4:6) using the projector and speaker.
2. Perform the Sand Demo: Use a tray with shaking sand to demonstrate how things naturally drift apart or settle, and discuss how intentional action (turning towards each other) is the solution.
LEAD CONSIDERATION:
• This is a visually and emotionally impactful session.
• Ensure the tech (projector/speaker) is tested well beforehand.
• Speak slowly and let the metaphor sink in.</t>
  </si>
  <si>
    <t>Spiritual reflection, forgiveness, and partaking in the covenant together.</t>
  </si>
  <si>
    <t>STEPS:
1. Provide the elements (grape juice and broken loaf) to each father/daughter pair.
2. Read Suggested Scriptures: 1 Corinthians 11:23-26 (The Lord's Supper) or Colossians 3:12-14 (Forgiveness and Love).
3. Guide the fathers to pray a blessing over their daughters before taking the elements.
LEAD CONSIDERATION:
• Create a quiet, reverent atmosphere. Allow ample time; do not rush this moment.
• Have soft, instrumental worship music playing in the background if possible.</t>
  </si>
  <si>
    <t>Personal reflection on the Malachi session and Communion.</t>
  </si>
  <si>
    <t>STEPS:
1. Fathers and daughters separate briefly, or sit quietly together without speaking, to reflect or journal.
LEAD CONSIDERATION:
• Clearly define the boundaries (e.g. "We will reconvene in 15 minutes at the main tent").
• Keep the camp entirely quiet during this block.</t>
  </si>
  <si>
    <t>Equipping fathers for the journey ahead, while daughters have a separate empowering session.</t>
  </si>
  <si>
    <t>STEPS:
1. Split the group: Dads in one area, daughters in another.
2. Lead a discussion with the dads about the weight and privilege of raising a daughter, drawing on the weekend's themes.
LEAD CONSIDERATION:
• Encourage vulnerability.
• Ask open-ended questions like "What is your biggest fear in this season of her life?"</t>
  </si>
  <si>
    <t>A final burst of fun, competitive teamwork before departing.</t>
  </si>
  <si>
    <t>STEPS:
1. Set up the tug of war rope in a clear, flat area.
2. Run several heats: Dads vs. Dads, Daughters vs. Daughters, and then mixed teams.
LEAD CONSIDERATION:
• Safety first—ensure the ground isn't slippery and nobody wraps the rope around their hands/wrists.
• Keep it highly competitive but lighthearted. End on a massive high note!</t>
  </si>
</sst>
</file>

<file path=xl/styles.xml><?xml version="1.0" encoding="utf-8"?>
<styleSheet xmlns="http://schemas.openxmlformats.org/spreadsheetml/2006/main">
  <numFmts count="1">
    <numFmt numFmtId="164" formatCode="hh:mm AM/PM"/>
  </numFmts>
  <fonts count="7">
    <font>
      <sz val="11"/>
      <color theme="1"/>
      <name val="Calibri"/>
      <family val="2"/>
      <scheme val="minor"/>
    </font>
    <font>
      <b/>
      <sz val="20"/>
      <color rgb="FF2C3E50"/>
      <name val="Calibri"/>
      <family val="2"/>
      <scheme val="minor"/>
    </font>
    <font>
      <b/>
      <sz val="11"/>
      <color rgb="FFFFFFFF"/>
      <name val="Calibri"/>
      <family val="2"/>
      <scheme val="minor"/>
    </font>
    <font>
      <b/>
      <sz val="11"/>
      <color theme="1"/>
      <name val="Calibri"/>
      <family val="2"/>
      <scheme val="minor"/>
    </font>
    <font>
      <b/>
      <sz val="14"/>
      <color rgb="FF34495E"/>
      <name val="Calibri"/>
      <family val="2"/>
      <scheme val="minor"/>
    </font>
    <font>
      <sz val="11"/>
      <color rgb="FF8E44AD"/>
      <name val="Calibri"/>
      <family val="2"/>
      <scheme val="minor"/>
    </font>
    <font>
      <sz val="11"/>
      <color rgb="FF5D6D7E"/>
      <name val="Calibri"/>
      <family val="2"/>
      <scheme val="minor"/>
    </font>
  </fonts>
  <fills count="10">
    <fill>
      <patternFill patternType="none"/>
    </fill>
    <fill>
      <patternFill patternType="gray125"/>
    </fill>
    <fill>
      <patternFill patternType="solid">
        <fgColor rgb="FFF39C12"/>
        <bgColor indexed="64"/>
      </patternFill>
    </fill>
    <fill>
      <patternFill patternType="solid">
        <fgColor rgb="FFFCF3CF"/>
        <bgColor indexed="64"/>
      </patternFill>
    </fill>
    <fill>
      <patternFill patternType="solid">
        <fgColor rgb="FF2980B9"/>
        <bgColor indexed="64"/>
      </patternFill>
    </fill>
    <fill>
      <patternFill patternType="solid">
        <fgColor rgb="FFD5DBDB"/>
        <bgColor indexed="64"/>
      </patternFill>
    </fill>
    <fill>
      <patternFill patternType="solid">
        <fgColor rgb="FFECF0F1"/>
        <bgColor indexed="64"/>
      </patternFill>
    </fill>
    <fill>
      <patternFill patternType="solid">
        <fgColor rgb="FFFDEBD0"/>
        <bgColor indexed="64"/>
      </patternFill>
    </fill>
    <fill>
      <patternFill patternType="solid">
        <fgColor rgb="FFE8DAEF"/>
        <bgColor indexed="64"/>
      </patternFill>
    </fill>
    <fill>
      <patternFill patternType="solid">
        <fgColor rgb="FFD5D8D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0" xfId="0" applyFont="1" applyAlignment="1">
      <alignment vertical="center"/>
    </xf>
    <xf numFmtId="0" fontId="2" fillId="2" borderId="1" xfId="0" applyFont="1" applyFill="1" applyBorder="1" applyAlignment="1">
      <alignment horizontal="center"/>
    </xf>
    <xf numFmtId="0" fontId="0" fillId="0" borderId="1" xfId="0" applyBorder="1" applyAlignment="1">
      <alignment vertical="top" wrapText="1"/>
    </xf>
    <xf numFmtId="0" fontId="3" fillId="3" borderId="1" xfId="0" applyFont="1" applyFill="1" applyBorder="1" applyAlignment="1">
      <alignment horizontal="center"/>
    </xf>
    <xf numFmtId="0" fontId="2" fillId="4" borderId="1" xfId="0" applyFont="1" applyFill="1" applyBorder="1" applyAlignment="1">
      <alignment horizontal="center" vertical="center" wrapText="1"/>
    </xf>
    <xf numFmtId="0" fontId="3" fillId="5" borderId="1" xfId="0" applyFont="1" applyFill="1" applyBorder="1" applyAlignment="1">
      <alignment horizontal="center"/>
    </xf>
    <xf numFmtId="0" fontId="0" fillId="6" borderId="1" xfId="0" applyFill="1" applyBorder="1" applyAlignment="1">
      <alignment vertical="top" wrapText="1"/>
    </xf>
    <xf numFmtId="0" fontId="4" fillId="0" borderId="0" xfId="0" applyFont="1" applyAlignment="1">
      <alignment vertical="center"/>
    </xf>
    <xf numFmtId="0" fontId="3" fillId="0" borderId="0" xfId="0" applyFont="1" applyAlignment="1">
      <alignment horizontal="right" vertical="center"/>
    </xf>
    <xf numFmtId="164" fontId="3" fillId="7" borderId="1" xfId="0" applyNumberFormat="1" applyFont="1" applyFill="1" applyBorder="1" applyAlignment="1">
      <alignment horizontal="center" vertical="center"/>
    </xf>
    <xf numFmtId="164" fontId="5" fillId="8" borderId="1" xfId="0" applyNumberFormat="1" applyFont="1" applyFill="1" applyBorder="1" applyAlignment="1">
      <alignment horizontal="center" vertical="center"/>
    </xf>
    <xf numFmtId="164" fontId="0" fillId="6" borderId="1" xfId="0" applyNumberFormat="1" applyFill="1" applyBorder="1" applyAlignment="1">
      <alignment horizontal="center" vertical="center"/>
    </xf>
    <xf numFmtId="0" fontId="6" fillId="9" borderId="1" xfId="0" applyFont="1" applyFill="1" applyBorder="1" applyAlignment="1">
      <alignment vertical="center" wrapText="1"/>
    </xf>
    <xf numFmtId="164" fontId="0" fillId="0" borderId="1" xfId="0" applyNumberForma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8"/>
  <sheetViews>
    <sheetView showGridLines="0" tabSelected="1" workbookViewId="0"/>
  </sheetViews>
  <sheetFormatPr defaultRowHeight="15"/>
  <cols>
    <col min="1" max="1" width="22.7109375" customWidth="1"/>
    <col min="2" max="2" width="70.7109375" customWidth="1"/>
    <col min="3" max="3" width="20.7109375" customWidth="1"/>
    <col min="4" max="4" width="18.7109375" customWidth="1"/>
    <col min="5" max="5" width="25.7109375" customWidth="1"/>
    <col min="6" max="7" width="15.7109375" customWidth="1"/>
  </cols>
  <sheetData>
    <row r="1" spans="1:7">
      <c r="A1" s="1" t="s">
        <v>0</v>
      </c>
      <c r="F1" s="2" t="s">
        <v>1</v>
      </c>
      <c r="G1" s="2"/>
    </row>
    <row r="2" spans="1:7">
      <c r="F2" s="3" t="s">
        <v>2</v>
      </c>
      <c r="G2" s="4">
        <v>16</v>
      </c>
    </row>
    <row r="3" spans="1:7">
      <c r="F3" s="3" t="s">
        <v>3</v>
      </c>
      <c r="G3" s="4">
        <v>16</v>
      </c>
    </row>
    <row r="4" spans="1:7">
      <c r="F4" s="3" t="s">
        <v>4</v>
      </c>
      <c r="G4" s="4">
        <v>11</v>
      </c>
    </row>
    <row r="5" spans="1:7">
      <c r="F5" s="5" t="s">
        <v>5</v>
      </c>
      <c r="G5" s="6">
        <f>SUM(G2:G4)</f>
        <v>0</v>
      </c>
    </row>
    <row r="7" spans="1:7">
      <c r="A7" s="5" t="s">
        <v>6</v>
      </c>
      <c r="B7" s="5" t="s">
        <v>7</v>
      </c>
      <c r="C7" s="5" t="s">
        <v>8</v>
      </c>
      <c r="D7" s="5" t="s">
        <v>9</v>
      </c>
      <c r="E7" s="5" t="s">
        <v>10</v>
      </c>
    </row>
    <row r="8" spans="1:7" ht="60" customHeight="1">
      <c r="A8" s="7" t="s">
        <v>11</v>
      </c>
      <c r="B8" s="7" t="s">
        <v>12</v>
      </c>
      <c r="C8" s="7" t="s">
        <v>13</v>
      </c>
      <c r="D8" s="7" t="s">
        <v>14</v>
      </c>
      <c r="E8" s="7" t="s">
        <v>15</v>
      </c>
    </row>
    <row r="9" spans="1:7" ht="60" customHeight="1">
      <c r="A9" s="3" t="s">
        <v>16</v>
      </c>
      <c r="B9" s="3" t="s">
        <v>17</v>
      </c>
      <c r="C9" s="3" t="s">
        <v>18</v>
      </c>
      <c r="D9" s="3" t="s">
        <v>19</v>
      </c>
      <c r="E9" s="3" t="s">
        <v>20</v>
      </c>
    </row>
    <row r="10" spans="1:7" ht="60" customHeight="1">
      <c r="A10" s="7" t="s">
        <v>21</v>
      </c>
      <c r="B10" s="7" t="s">
        <v>22</v>
      </c>
      <c r="C10" s="7" t="s">
        <v>23</v>
      </c>
      <c r="D10" s="7"/>
      <c r="E10" s="7"/>
    </row>
    <row r="11" spans="1:7" ht="60" customHeight="1">
      <c r="A11" s="3" t="s">
        <v>24</v>
      </c>
      <c r="B11" s="3" t="s">
        <v>25</v>
      </c>
      <c r="C11" s="3" t="s">
        <v>26</v>
      </c>
      <c r="D11" s="3" t="s">
        <v>27</v>
      </c>
      <c r="E11" s="3"/>
    </row>
    <row r="12" spans="1:7" ht="60" customHeight="1">
      <c r="A12" s="7" t="s">
        <v>28</v>
      </c>
      <c r="B12" s="7" t="s">
        <v>29</v>
      </c>
      <c r="C12" s="7" t="s">
        <v>30</v>
      </c>
      <c r="D12" s="7" t="s">
        <v>31</v>
      </c>
      <c r="E12" s="7"/>
    </row>
    <row r="13" spans="1:7" ht="60" customHeight="1">
      <c r="A13" s="3" t="s">
        <v>32</v>
      </c>
      <c r="B13" s="3" t="s">
        <v>33</v>
      </c>
      <c r="C13" s="3" t="s">
        <v>34</v>
      </c>
      <c r="D13" s="3"/>
      <c r="E13" s="3"/>
    </row>
    <row r="14" spans="1:7" ht="60" customHeight="1">
      <c r="A14" s="7" t="s">
        <v>35</v>
      </c>
      <c r="B14" s="7" t="s">
        <v>36</v>
      </c>
      <c r="C14" s="7"/>
      <c r="D14" s="7"/>
      <c r="E14" s="7"/>
    </row>
    <row r="15" spans="1:7" ht="60" customHeight="1">
      <c r="A15" s="3" t="s">
        <v>37</v>
      </c>
      <c r="B15" s="3" t="s">
        <v>36</v>
      </c>
      <c r="C15" s="3"/>
      <c r="D15" s="3"/>
      <c r="E15" s="3"/>
    </row>
    <row r="16" spans="1:7" ht="60" customHeight="1">
      <c r="A16" s="7" t="s">
        <v>38</v>
      </c>
      <c r="B16" s="7" t="s">
        <v>39</v>
      </c>
      <c r="C16" s="7" t="s">
        <v>40</v>
      </c>
      <c r="D16" s="7" t="s">
        <v>41</v>
      </c>
      <c r="E16" s="7"/>
    </row>
    <row r="17" spans="1:5" ht="60" customHeight="1">
      <c r="A17" s="3" t="s">
        <v>42</v>
      </c>
      <c r="B17" s="3" t="s">
        <v>43</v>
      </c>
      <c r="C17" s="3" t="s">
        <v>44</v>
      </c>
      <c r="D17" s="3"/>
      <c r="E17" s="3"/>
    </row>
    <row r="18" spans="1:5" ht="60" customHeight="1">
      <c r="A18" s="7" t="s">
        <v>45</v>
      </c>
      <c r="B18" s="7" t="s">
        <v>46</v>
      </c>
      <c r="C18" s="7" t="s">
        <v>47</v>
      </c>
      <c r="D18" s="7"/>
      <c r="E18"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6"/>
  <sheetViews>
    <sheetView showGridLines="0" workbookViewId="0"/>
  </sheetViews>
  <sheetFormatPr defaultRowHeight="15"/>
  <cols>
    <col min="1" max="1" width="12.7109375" customWidth="1"/>
    <col min="2" max="2" width="18.7109375" customWidth="1"/>
    <col min="3" max="5" width="15.7109375" customWidth="1"/>
    <col min="6" max="6" width="20.7109375" customWidth="1"/>
    <col min="7" max="7" width="45.7109375" customWidth="1"/>
    <col min="8" max="8" width="35.7109375" customWidth="1"/>
    <col min="9" max="11" width="20.7109375" customWidth="1"/>
    <col min="12" max="12" width="15.7109375" customWidth="1"/>
  </cols>
  <sheetData>
    <row r="1" spans="1:12">
      <c r="A1" s="1" t="s">
        <v>48</v>
      </c>
    </row>
    <row r="2" spans="1:12">
      <c r="A2" s="8" t="s">
        <v>49</v>
      </c>
    </row>
    <row r="4" spans="1:12">
      <c r="B4" s="9" t="s">
        <v>50</v>
      </c>
      <c r="C4" s="10">
        <v>0.625</v>
      </c>
    </row>
    <row r="7" spans="1:12">
      <c r="A7" s="5" t="s">
        <v>51</v>
      </c>
      <c r="B7" s="5" t="s">
        <v>52</v>
      </c>
      <c r="C7" s="5" t="s">
        <v>53</v>
      </c>
      <c r="D7" s="5" t="s">
        <v>54</v>
      </c>
      <c r="E7" s="5" t="s">
        <v>55</v>
      </c>
      <c r="F7" s="5" t="s">
        <v>56</v>
      </c>
      <c r="G7" s="5" t="s">
        <v>57</v>
      </c>
      <c r="H7" s="5" t="s">
        <v>58</v>
      </c>
      <c r="I7" s="5" t="s">
        <v>59</v>
      </c>
      <c r="J7" s="5" t="s">
        <v>60</v>
      </c>
      <c r="K7" s="5" t="s">
        <v>61</v>
      </c>
      <c r="L7" s="5" t="s">
        <v>62</v>
      </c>
    </row>
    <row r="8" spans="1:12" ht="30" customHeight="1">
      <c r="A8" s="7" t="s">
        <v>63</v>
      </c>
      <c r="B8" s="11"/>
      <c r="C8" s="12">
        <f>IF(B8&lt;&gt;"", B8, $C$4)</f>
        <v>0</v>
      </c>
      <c r="D8" s="12">
        <f>C8 + (E8/1440)</f>
        <v>0</v>
      </c>
      <c r="E8" s="7">
        <v>30</v>
      </c>
      <c r="F8" s="7" t="s">
        <v>64</v>
      </c>
      <c r="G8" s="7" t="s">
        <v>65</v>
      </c>
      <c r="H8" s="13" cm="1">
        <f t="array" ref="H8">IFERROR(JOIN(", ", _xlfn._xlws.FILTER('5. Activity Equipment'!A:A, '5. Activity Equipment'!D:D=F8)), "None")</f>
        <v>0</v>
      </c>
      <c r="I8" s="13" t="s">
        <v>32</v>
      </c>
      <c r="J8" s="7"/>
      <c r="K8" s="7">
        <f>IF(J8="", IFERROR(VLOOKUP(I8, '1. Roster &amp; Roles'!A:C, 3, FALSE), "Unassigned"), J8)</f>
        <v>0</v>
      </c>
      <c r="L8" s="13" t="s">
        <v>64</v>
      </c>
    </row>
    <row r="9" spans="1:12" ht="30" customHeight="1">
      <c r="A9" s="3" t="s">
        <v>63</v>
      </c>
      <c r="B9" s="11"/>
      <c r="C9" s="14">
        <f>IF(B9&lt;&gt;"", B9, D8)</f>
        <v>0</v>
      </c>
      <c r="D9" s="14">
        <f>C9 + (E9/1440)</f>
        <v>0</v>
      </c>
      <c r="E9" s="3">
        <v>30</v>
      </c>
      <c r="F9" s="3" t="s">
        <v>66</v>
      </c>
      <c r="G9" s="3" t="s">
        <v>67</v>
      </c>
      <c r="H9" s="13" cm="1">
        <f t="array" ref="H9">IFERROR(JOIN(", ", _xlfn._xlws.FILTER('5. Activity Equipment'!A:A, '5. Activity Equipment'!D:D=F9)), "None")</f>
        <v>0</v>
      </c>
      <c r="I9" s="13" t="s">
        <v>24</v>
      </c>
      <c r="J9" s="3"/>
      <c r="K9" s="3">
        <f>IF(J9="", IFERROR(VLOOKUP(I9, '1. Roster &amp; Roles'!A:C, 3, FALSE), "Unassigned"), J9)</f>
        <v>0</v>
      </c>
      <c r="L9" s="13" t="s">
        <v>66</v>
      </c>
    </row>
    <row r="10" spans="1:12" ht="30" customHeight="1">
      <c r="A10" s="7" t="s">
        <v>63</v>
      </c>
      <c r="B10" s="11"/>
      <c r="C10" s="12">
        <f>IF(B10&lt;&gt;"", B10, D9)</f>
        <v>0</v>
      </c>
      <c r="D10" s="12">
        <f>C10 + (E10/1440)</f>
        <v>0</v>
      </c>
      <c r="E10" s="7">
        <v>90</v>
      </c>
      <c r="F10" s="7" t="s">
        <v>68</v>
      </c>
      <c r="G10" s="7" t="s">
        <v>69</v>
      </c>
      <c r="H10" s="13" cm="1">
        <f t="array" ref="H10">IFERROR(JOIN(", ", _xlfn._xlws.FILTER('5. Activity Equipment'!A:A, '5. Activity Equipment'!D:D=F10)), "None")</f>
        <v>0</v>
      </c>
      <c r="I10" s="13" t="s">
        <v>24</v>
      </c>
      <c r="J10" s="7"/>
      <c r="K10" s="7">
        <f>IF(J10="", IFERROR(VLOOKUP(I10, '1. Roster &amp; Roles'!A:C, 3, FALSE), "Unassigned"), J10)</f>
        <v>0</v>
      </c>
      <c r="L10" s="13" t="s">
        <v>70</v>
      </c>
    </row>
    <row r="11" spans="1:12" ht="30" customHeight="1">
      <c r="A11" s="3" t="s">
        <v>63</v>
      </c>
      <c r="B11" s="11"/>
      <c r="C11" s="14">
        <f>IF(B11&lt;&gt;"", B11, D10)</f>
        <v>0</v>
      </c>
      <c r="D11" s="14">
        <f>C11 + (E11/1440)</f>
        <v>0</v>
      </c>
      <c r="E11" s="3">
        <v>90</v>
      </c>
      <c r="F11" s="3" t="s">
        <v>71</v>
      </c>
      <c r="G11" s="3" t="s">
        <v>72</v>
      </c>
      <c r="H11" s="13" cm="1">
        <f t="array" ref="H11">IFERROR(JOIN(", ", _xlfn._xlws.FILTER('5. Activity Equipment'!A:A, '5. Activity Equipment'!D:D=F11)), "None")</f>
        <v>0</v>
      </c>
      <c r="I11" s="13" t="s">
        <v>16</v>
      </c>
      <c r="J11" s="3"/>
      <c r="K11" s="3">
        <f>IF(J11="", IFERROR(VLOOKUP(I11, '1. Roster &amp; Roles'!A:C, 3, FALSE), "Unassigned"), J11)</f>
        <v>0</v>
      </c>
      <c r="L11" s="13" t="s">
        <v>73</v>
      </c>
    </row>
    <row r="12" spans="1:12" ht="30" customHeight="1">
      <c r="A12" s="7" t="s">
        <v>63</v>
      </c>
      <c r="B12" s="11"/>
      <c r="C12" s="12">
        <f>IF(B12&lt;&gt;"", B12, D11)</f>
        <v>0</v>
      </c>
      <c r="D12" s="12">
        <f>C12 + (E12/1440)</f>
        <v>0</v>
      </c>
      <c r="E12" s="7">
        <v>60</v>
      </c>
      <c r="F12" s="7" t="s">
        <v>74</v>
      </c>
      <c r="G12" s="7" t="s">
        <v>75</v>
      </c>
      <c r="H12" s="13" cm="1">
        <f t="array" ref="H12">IFERROR(JOIN(", ", _xlfn._xlws.FILTER('5. Activity Equipment'!A:A, '5. Activity Equipment'!D:D=F12)), "None")</f>
        <v>0</v>
      </c>
      <c r="I12" s="13" t="s">
        <v>28</v>
      </c>
      <c r="J12" s="7"/>
      <c r="K12" s="7">
        <f>IF(J12="", IFERROR(VLOOKUP(I12, '1. Roster &amp; Roles'!A:C, 3, FALSE), "Unassigned"), J12)</f>
        <v>0</v>
      </c>
      <c r="L12" s="13" t="s">
        <v>74</v>
      </c>
    </row>
    <row r="13" spans="1:12" ht="30" customHeight="1">
      <c r="A13" s="3" t="s">
        <v>63</v>
      </c>
      <c r="B13" s="11"/>
      <c r="C13" s="14">
        <f>IF(B13&lt;&gt;"", B13, D12)</f>
        <v>0</v>
      </c>
      <c r="D13" s="14">
        <f>C13 + (E13/1440)</f>
        <v>0</v>
      </c>
      <c r="E13" s="3">
        <v>30</v>
      </c>
      <c r="F13" s="3" t="s">
        <v>76</v>
      </c>
      <c r="G13" s="3" t="s">
        <v>77</v>
      </c>
      <c r="H13" s="13" cm="1">
        <f t="array" ref="H13">IFERROR(JOIN(", ", _xlfn._xlws.FILTER('5. Activity Equipment'!A:A, '5. Activity Equipment'!D:D=F13)), "None")</f>
        <v>0</v>
      </c>
      <c r="I13" s="13" t="s">
        <v>11</v>
      </c>
      <c r="J13" s="3"/>
      <c r="K13" s="3">
        <f>IF(J13="", IFERROR(VLOOKUP(I13, '1. Roster &amp; Roles'!A:C, 3, FALSE), "Unassigned"), J13)</f>
        <v>0</v>
      </c>
      <c r="L13" s="13" t="s">
        <v>76</v>
      </c>
    </row>
    <row r="14" spans="1:12" ht="30" customHeight="1">
      <c r="A14" s="7" t="s">
        <v>63</v>
      </c>
      <c r="B14" s="11"/>
      <c r="C14" s="12">
        <f>IF(B14&lt;&gt;"", B14, D13)</f>
        <v>0</v>
      </c>
      <c r="D14" s="12">
        <f>C14 + (E14/1440)</f>
        <v>0</v>
      </c>
      <c r="E14" s="7">
        <v>60</v>
      </c>
      <c r="F14" s="7" t="s">
        <v>78</v>
      </c>
      <c r="G14" s="7" t="s">
        <v>79</v>
      </c>
      <c r="H14" s="13" cm="1">
        <f t="array" ref="H14">IFERROR(JOIN(", ", _xlfn._xlws.FILTER('5. Activity Equipment'!A:A, '5. Activity Equipment'!D:D=F14)), "None")</f>
        <v>0</v>
      </c>
      <c r="I14" s="13" t="s">
        <v>21</v>
      </c>
      <c r="J14" s="7"/>
      <c r="K14" s="7">
        <f>IF(J14="", IFERROR(VLOOKUP(I14, '1. Roster &amp; Roles'!A:C, 3, FALSE), "Unassigned"), J14)</f>
        <v>0</v>
      </c>
      <c r="L14" s="13" t="s">
        <v>80</v>
      </c>
    </row>
    <row r="15" spans="1:12" ht="30" customHeight="1">
      <c r="A15" s="3" t="s">
        <v>63</v>
      </c>
      <c r="B15" s="11"/>
      <c r="C15" s="14">
        <f>IF(B15&lt;&gt;"", B15, D14)</f>
        <v>0</v>
      </c>
      <c r="D15" s="14">
        <f>C15 + (E15/1440)</f>
        <v>0</v>
      </c>
      <c r="E15" s="3">
        <v>60</v>
      </c>
      <c r="F15" s="3" t="s">
        <v>81</v>
      </c>
      <c r="G15" s="3" t="s">
        <v>82</v>
      </c>
      <c r="H15" s="13" cm="1">
        <f t="array" ref="H15">IFERROR(JOIN(", ", _xlfn._xlws.FILTER('5. Activity Equipment'!A:A, '5. Activity Equipment'!D:D=F15)), "None")</f>
        <v>0</v>
      </c>
      <c r="I15" s="13" t="s">
        <v>11</v>
      </c>
      <c r="J15" s="3"/>
      <c r="K15" s="3">
        <f>IF(J15="", IFERROR(VLOOKUP(I15, '1. Roster &amp; Roles'!A:C, 3, FALSE), "Unassigned"), J15)</f>
        <v>0</v>
      </c>
      <c r="L15" s="13" t="s">
        <v>83</v>
      </c>
    </row>
    <row r="16" spans="1:12" ht="30" customHeight="1">
      <c r="A16" s="7" t="s">
        <v>63</v>
      </c>
      <c r="B16" s="11"/>
      <c r="C16" s="12">
        <f>IF(B16&lt;&gt;"", B16, D15)</f>
        <v>0</v>
      </c>
      <c r="D16" s="12">
        <f>C16 + (E16/1440)</f>
        <v>0</v>
      </c>
      <c r="E16" s="7">
        <v>0</v>
      </c>
      <c r="F16" s="7" t="s">
        <v>84</v>
      </c>
      <c r="G16" s="7" t="s">
        <v>85</v>
      </c>
      <c r="H16" s="13" cm="1">
        <f t="array" ref="H16">IFERROR(JOIN(", ", _xlfn._xlws.FILTER('5. Activity Equipment'!A:A, '5. Activity Equipment'!D:D=F16)), "None")</f>
        <v>0</v>
      </c>
      <c r="I16" s="13" t="s">
        <v>11</v>
      </c>
      <c r="J16" s="7"/>
      <c r="K16" s="7">
        <f>IF(J16="", IFERROR(VLOOKUP(I16, '1. Roster &amp; Roles'!A:C, 3, FALSE), "Unassigned"), J16)</f>
        <v>0</v>
      </c>
      <c r="L16" s="13" t="s">
        <v>86</v>
      </c>
    </row>
    <row r="17" spans="1:12" ht="30" customHeight="1">
      <c r="A17" s="3" t="s">
        <v>87</v>
      </c>
      <c r="B17" s="11"/>
      <c r="C17" s="14">
        <f>IF(B17&lt;&gt;"", B17, D16)</f>
        <v>0</v>
      </c>
      <c r="D17" s="14">
        <f>C17 + (E17/1440)</f>
        <v>0</v>
      </c>
      <c r="E17" s="3">
        <v>45</v>
      </c>
      <c r="F17" s="3" t="s">
        <v>88</v>
      </c>
      <c r="G17" s="3" t="s">
        <v>89</v>
      </c>
      <c r="H17" s="13" cm="1">
        <f t="array" ref="H17">IFERROR(JOIN(", ", _xlfn._xlws.FILTER('5. Activity Equipment'!A:A, '5. Activity Equipment'!D:D=F17)), "None")</f>
        <v>0</v>
      </c>
      <c r="I17" s="13" t="s">
        <v>16</v>
      </c>
      <c r="J17" s="3"/>
      <c r="K17" s="3">
        <f>IF(J17="", IFERROR(VLOOKUP(I17, '1. Roster &amp; Roles'!A:C, 3, FALSE), "Unassigned"), J17)</f>
        <v>0</v>
      </c>
      <c r="L17" s="13" t="s">
        <v>90</v>
      </c>
    </row>
    <row r="18" spans="1:12" ht="30" customHeight="1">
      <c r="A18" s="7" t="s">
        <v>87</v>
      </c>
      <c r="B18" s="11"/>
      <c r="C18" s="12">
        <f>IF(B18&lt;&gt;"", B18, D17)</f>
        <v>0</v>
      </c>
      <c r="D18" s="12">
        <f>C18 + (E18/1440)</f>
        <v>0</v>
      </c>
      <c r="E18" s="7">
        <v>90</v>
      </c>
      <c r="F18" s="7" t="s">
        <v>91</v>
      </c>
      <c r="G18" s="7" t="s">
        <v>92</v>
      </c>
      <c r="H18" s="13" cm="1">
        <f t="array" ref="H18">IFERROR(JOIN(", ", _xlfn._xlws.FILTER('5. Activity Equipment'!A:A, '5. Activity Equipment'!D:D=F18)), "None")</f>
        <v>0</v>
      </c>
      <c r="I18" s="13" t="s">
        <v>21</v>
      </c>
      <c r="J18" s="7"/>
      <c r="K18" s="7">
        <f>IF(J18="", IFERROR(VLOOKUP(I18, '1. Roster &amp; Roles'!A:C, 3, FALSE), "Unassigned"), J18)</f>
        <v>0</v>
      </c>
      <c r="L18" s="13" t="s">
        <v>93</v>
      </c>
    </row>
    <row r="19" spans="1:12" ht="30" customHeight="1">
      <c r="A19" s="3" t="s">
        <v>87</v>
      </c>
      <c r="B19" s="11"/>
      <c r="C19" s="14">
        <f>IF(B19&lt;&gt;"", B19, D18)</f>
        <v>0</v>
      </c>
      <c r="D19" s="14">
        <f>C19 + (E19/1440)</f>
        <v>0</v>
      </c>
      <c r="E19" s="3">
        <v>30</v>
      </c>
      <c r="F19" s="3" t="s">
        <v>94</v>
      </c>
      <c r="G19" s="3" t="s">
        <v>95</v>
      </c>
      <c r="H19" s="13" cm="1">
        <f t="array" ref="H19">IFERROR(JOIN(", ", _xlfn._xlws.FILTER('5. Activity Equipment'!A:A, '5. Activity Equipment'!D:D=F19)), "None")</f>
        <v>0</v>
      </c>
      <c r="I19" s="13" t="s">
        <v>45</v>
      </c>
      <c r="J19" s="3"/>
      <c r="K19" s="3">
        <f>IF(J19="", IFERROR(VLOOKUP(I19, '1. Roster &amp; Roles'!A:C, 3, FALSE), "Unassigned"), J19)</f>
        <v>0</v>
      </c>
      <c r="L19" s="13" t="s">
        <v>94</v>
      </c>
    </row>
    <row r="20" spans="1:12" ht="30" customHeight="1">
      <c r="A20" s="7" t="s">
        <v>87</v>
      </c>
      <c r="B20" s="11"/>
      <c r="C20" s="12">
        <f>IF(B20&lt;&gt;"", B20, D19)</f>
        <v>0</v>
      </c>
      <c r="D20" s="12">
        <f>C20 + (E20/1440)</f>
        <v>0</v>
      </c>
      <c r="E20" s="7">
        <v>15</v>
      </c>
      <c r="F20" s="7" t="s">
        <v>96</v>
      </c>
      <c r="G20" s="7" t="s">
        <v>97</v>
      </c>
      <c r="H20" s="13" cm="1">
        <f t="array" ref="H20">IFERROR(JOIN(", ", _xlfn._xlws.FILTER('5. Activity Equipment'!A:A, '5. Activity Equipment'!D:D=F20)), "None")</f>
        <v>0</v>
      </c>
      <c r="I20" s="13" t="s">
        <v>11</v>
      </c>
      <c r="J20" s="7"/>
      <c r="K20" s="7">
        <f>IF(J20="", IFERROR(VLOOKUP(I20, '1. Roster &amp; Roles'!A:C, 3, FALSE), "Unassigned"), J20)</f>
        <v>0</v>
      </c>
      <c r="L20" s="13" t="s">
        <v>98</v>
      </c>
    </row>
    <row r="21" spans="1:12" ht="30" customHeight="1">
      <c r="A21" s="3" t="s">
        <v>87</v>
      </c>
      <c r="B21" s="11"/>
      <c r="C21" s="14">
        <f>IF(B21&lt;&gt;"", B21, D20)</f>
        <v>0</v>
      </c>
      <c r="D21" s="14">
        <f>C21 + (E21/1440)</f>
        <v>0</v>
      </c>
      <c r="E21" s="3">
        <v>60</v>
      </c>
      <c r="F21" s="3" t="s">
        <v>99</v>
      </c>
      <c r="G21" s="3" t="s">
        <v>100</v>
      </c>
      <c r="H21" s="13" cm="1">
        <f t="array" ref="H21">IFERROR(JOIN(", ", _xlfn._xlws.FILTER('5. Activity Equipment'!A:A, '5. Activity Equipment'!D:D=F21)), "None")</f>
        <v>0</v>
      </c>
      <c r="I21" s="13" t="s">
        <v>28</v>
      </c>
      <c r="J21" s="3"/>
      <c r="K21" s="3">
        <f>IF(J21="", IFERROR(VLOOKUP(I21, '1. Roster &amp; Roles'!A:C, 3, FALSE), "Unassigned"), J21)</f>
        <v>0</v>
      </c>
      <c r="L21" s="13" t="s">
        <v>99</v>
      </c>
    </row>
    <row r="22" spans="1:12" ht="30" customHeight="1">
      <c r="A22" s="7" t="s">
        <v>87</v>
      </c>
      <c r="B22" s="11"/>
      <c r="C22" s="12">
        <f>IF(B22&lt;&gt;"", B22, D21)</f>
        <v>0</v>
      </c>
      <c r="D22" s="12">
        <f>C22 + (E22/1440)</f>
        <v>0</v>
      </c>
      <c r="E22" s="7">
        <v>60</v>
      </c>
      <c r="F22" s="7" t="s">
        <v>101</v>
      </c>
      <c r="G22" s="7" t="s">
        <v>102</v>
      </c>
      <c r="H22" s="13" cm="1">
        <f t="array" ref="H22">IFERROR(JOIN(", ", _xlfn._xlws.FILTER('5. Activity Equipment'!A:A, '5. Activity Equipment'!D:D=F22)), "None")</f>
        <v>0</v>
      </c>
      <c r="I22" s="13" t="s">
        <v>21</v>
      </c>
      <c r="J22" s="7"/>
      <c r="K22" s="7">
        <f>IF(J22="", IFERROR(VLOOKUP(I22, '1. Roster &amp; Roles'!A:C, 3, FALSE), "Unassigned"), J22)</f>
        <v>0</v>
      </c>
      <c r="L22" s="13" t="s">
        <v>103</v>
      </c>
    </row>
    <row r="23" spans="1:12" ht="30" customHeight="1">
      <c r="A23" s="3" t="s">
        <v>87</v>
      </c>
      <c r="B23" s="11"/>
      <c r="C23" s="14">
        <f>IF(B23&lt;&gt;"", B23, D22)</f>
        <v>0</v>
      </c>
      <c r="D23" s="14">
        <f>C23 + (E23/1440)</f>
        <v>0</v>
      </c>
      <c r="E23" s="3">
        <v>15</v>
      </c>
      <c r="F23" s="3" t="s">
        <v>104</v>
      </c>
      <c r="G23" s="3" t="s">
        <v>105</v>
      </c>
      <c r="H23" s="13" cm="1">
        <f t="array" ref="H23">IFERROR(JOIN(", ", _xlfn._xlws.FILTER('5. Activity Equipment'!A:A, '5. Activity Equipment'!D:D=F23)), "None")</f>
        <v>0</v>
      </c>
      <c r="I23" s="13" t="s">
        <v>11</v>
      </c>
      <c r="J23" s="3"/>
      <c r="K23" s="3">
        <f>IF(J23="", IFERROR(VLOOKUP(I23, '1. Roster &amp; Roles'!A:C, 3, FALSE), "Unassigned"), J23)</f>
        <v>0</v>
      </c>
      <c r="L23" s="13" t="s">
        <v>106</v>
      </c>
    </row>
    <row r="24" spans="1:12" ht="30" customHeight="1">
      <c r="A24" s="7" t="s">
        <v>87</v>
      </c>
      <c r="B24" s="11"/>
      <c r="C24" s="12">
        <f>IF(B24&lt;&gt;"", B24, D23)</f>
        <v>0</v>
      </c>
      <c r="D24" s="12">
        <f>C24 + (E24/1440)</f>
        <v>0</v>
      </c>
      <c r="E24" s="7">
        <v>60</v>
      </c>
      <c r="F24" s="7" t="s">
        <v>107</v>
      </c>
      <c r="G24" s="7" t="s">
        <v>108</v>
      </c>
      <c r="H24" s="13" cm="1">
        <f t="array" ref="H24">IFERROR(JOIN(", ", _xlfn._xlws.FILTER('5. Activity Equipment'!A:A, '5. Activity Equipment'!D:D=F24)), "None")</f>
        <v>0</v>
      </c>
      <c r="I24" s="13" t="s">
        <v>16</v>
      </c>
      <c r="J24" s="7"/>
      <c r="K24" s="7">
        <f>IF(J24="", IFERROR(VLOOKUP(I24, '1. Roster &amp; Roles'!A:C, 3, FALSE), "Unassigned"), J24)</f>
        <v>0</v>
      </c>
      <c r="L24" s="13" t="s">
        <v>107</v>
      </c>
    </row>
    <row r="25" spans="1:12" ht="30" customHeight="1">
      <c r="A25" s="3" t="s">
        <v>87</v>
      </c>
      <c r="B25" s="11"/>
      <c r="C25" s="14">
        <f>IF(B25&lt;&gt;"", B25, D24)</f>
        <v>0</v>
      </c>
      <c r="D25" s="14">
        <f>C25 + (E25/1440)</f>
        <v>0</v>
      </c>
      <c r="E25" s="3">
        <v>45</v>
      </c>
      <c r="F25" s="3" t="s">
        <v>109</v>
      </c>
      <c r="G25" s="3" t="s">
        <v>110</v>
      </c>
      <c r="H25" s="13" cm="1">
        <f t="array" ref="H25">IFERROR(JOIN(", ", _xlfn._xlws.FILTER('5. Activity Equipment'!A:A, '5. Activity Equipment'!D:D=F25)), "None")</f>
        <v>0</v>
      </c>
      <c r="I25" s="13" t="s">
        <v>24</v>
      </c>
      <c r="J25" s="3"/>
      <c r="K25" s="3">
        <f>IF(J25="", IFERROR(VLOOKUP(I25, '1. Roster &amp; Roles'!A:C, 3, FALSE), "Unassigned"), J25)</f>
        <v>0</v>
      </c>
      <c r="L25" s="13" t="s">
        <v>70</v>
      </c>
    </row>
    <row r="26" spans="1:12" ht="30" customHeight="1">
      <c r="A26" s="7" t="s">
        <v>87</v>
      </c>
      <c r="B26" s="11"/>
      <c r="C26" s="12">
        <f>IF(B26&lt;&gt;"", B26, D25)</f>
        <v>0</v>
      </c>
      <c r="D26" s="12">
        <f>C26 + (E26/1440)</f>
        <v>0</v>
      </c>
      <c r="E26" s="7">
        <v>0</v>
      </c>
      <c r="F26" s="7" t="s">
        <v>111</v>
      </c>
      <c r="G26" s="7" t="s">
        <v>112</v>
      </c>
      <c r="H26" s="13" cm="1">
        <f t="array" ref="H26">IFERROR(JOIN(", ", _xlfn._xlws.FILTER('5. Activity Equipment'!A:A, '5. Activity Equipment'!D:D=F26)), "None")</f>
        <v>0</v>
      </c>
      <c r="I26" s="13" t="s">
        <v>32</v>
      </c>
      <c r="J26" s="7"/>
      <c r="K26" s="7">
        <f>IF(J26="", IFERROR(VLOOKUP(I26, '1. Roster &amp; Roles'!A:C, 3, FALSE), "Unassigned"), J26)</f>
        <v>0</v>
      </c>
      <c r="L26" s="13" t="s">
        <v>111</v>
      </c>
    </row>
  </sheetData>
  <dataValidations count="19">
    <dataValidation type="list" allowBlank="1" showInputMessage="1" sqref="J8">
      <formula1>'1. Roster &amp; Roles'!$C$8:$C$25</formula1>
    </dataValidation>
    <dataValidation type="list" allowBlank="1" showInputMessage="1" sqref="J9">
      <formula1>'1. Roster &amp; Roles'!$C$8:$C$25</formula1>
    </dataValidation>
    <dataValidation type="list" allowBlank="1" showInputMessage="1" sqref="J10">
      <formula1>'1. Roster &amp; Roles'!$C$8:$C$25</formula1>
    </dataValidation>
    <dataValidation type="list" allowBlank="1" showInputMessage="1" sqref="J11">
      <formula1>'1. Roster &amp; Roles'!$C$8:$C$25</formula1>
    </dataValidation>
    <dataValidation type="list" allowBlank="1" showInputMessage="1" sqref="J12">
      <formula1>'1. Roster &amp; Roles'!$C$8:$C$25</formula1>
    </dataValidation>
    <dataValidation type="list" allowBlank="1" showInputMessage="1" sqref="J13">
      <formula1>'1. Roster &amp; Roles'!$C$8:$C$25</formula1>
    </dataValidation>
    <dataValidation type="list" allowBlank="1" showInputMessage="1" sqref="J14">
      <formula1>'1. Roster &amp; Roles'!$C$8:$C$25</formula1>
    </dataValidation>
    <dataValidation type="list" allowBlank="1" showInputMessage="1" sqref="J15">
      <formula1>'1. Roster &amp; Roles'!$C$8:$C$25</formula1>
    </dataValidation>
    <dataValidation type="list" allowBlank="1" showInputMessage="1" sqref="J16">
      <formula1>'1. Roster &amp; Roles'!$C$8:$C$25</formula1>
    </dataValidation>
    <dataValidation type="list" allowBlank="1" showInputMessage="1" sqref="J17">
      <formula1>'1. Roster &amp; Roles'!$C$8:$C$25</formula1>
    </dataValidation>
    <dataValidation type="list" allowBlank="1" showInputMessage="1" sqref="J18">
      <formula1>'1. Roster &amp; Roles'!$C$8:$C$25</formula1>
    </dataValidation>
    <dataValidation type="list" allowBlank="1" showInputMessage="1" sqref="J19">
      <formula1>'1. Roster &amp; Roles'!$C$8:$C$25</formula1>
    </dataValidation>
    <dataValidation type="list" allowBlank="1" showInputMessage="1" sqref="J20">
      <formula1>'1. Roster &amp; Roles'!$C$8:$C$25</formula1>
    </dataValidation>
    <dataValidation type="list" allowBlank="1" showInputMessage="1" sqref="J21">
      <formula1>'1. Roster &amp; Roles'!$C$8:$C$25</formula1>
    </dataValidation>
    <dataValidation type="list" allowBlank="1" showInputMessage="1" sqref="J22">
      <formula1>'1. Roster &amp; Roles'!$C$8:$C$25</formula1>
    </dataValidation>
    <dataValidation type="list" allowBlank="1" showInputMessage="1" sqref="J23">
      <formula1>'1. Roster &amp; Roles'!$C$8:$C$25</formula1>
    </dataValidation>
    <dataValidation type="list" allowBlank="1" showInputMessage="1" sqref="J24">
      <formula1>'1. Roster &amp; Roles'!$C$8:$C$25</formula1>
    </dataValidation>
    <dataValidation type="list" allowBlank="1" showInputMessage="1" sqref="J25">
      <formula1>'1. Roster &amp; Roles'!$C$8:$C$25</formula1>
    </dataValidation>
    <dataValidation type="list" allowBlank="1" showInputMessage="1" sqref="J26">
      <formula1>'1. Roster &amp; Roles'!$C$8:$C$25</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2"/>
  <sheetViews>
    <sheetView showGridLines="0" workbookViewId="0"/>
  </sheetViews>
  <sheetFormatPr defaultRowHeight="15"/>
  <cols>
    <col min="1" max="1" width="25.7109375" customWidth="1"/>
    <col min="2" max="2" width="50.7109375" customWidth="1"/>
    <col min="3" max="5" width="20.7109375" customWidth="1"/>
    <col min="6" max="6" width="15.7109375" customWidth="1"/>
  </cols>
  <sheetData>
    <row r="1" spans="1:6">
      <c r="A1" s="1" t="s">
        <v>113</v>
      </c>
    </row>
    <row r="2" spans="1:6">
      <c r="A2" s="8" t="s">
        <v>114</v>
      </c>
    </row>
    <row r="5" spans="1:6">
      <c r="A5" s="5" t="s">
        <v>115</v>
      </c>
      <c r="B5" s="5" t="s">
        <v>116</v>
      </c>
      <c r="C5" s="5" t="s">
        <v>59</v>
      </c>
      <c r="D5" s="5" t="s">
        <v>60</v>
      </c>
      <c r="E5" s="5" t="s">
        <v>117</v>
      </c>
      <c r="F5" s="5" t="s">
        <v>118</v>
      </c>
    </row>
    <row r="6" spans="1:6" ht="25" customHeight="1">
      <c r="A6" s="7" t="s">
        <v>119</v>
      </c>
      <c r="B6" s="7" t="s">
        <v>120</v>
      </c>
      <c r="C6" s="13" t="s">
        <v>32</v>
      </c>
      <c r="D6" s="7"/>
      <c r="E6" s="7">
        <f>IF(D6="", IFERROR(VLOOKUP(C6, '1. Roster &amp; Roles'!A:C, 3, FALSE), "Unassigned"), D6)</f>
        <v>0</v>
      </c>
      <c r="F6" s="7" t="s">
        <v>121</v>
      </c>
    </row>
    <row r="7" spans="1:6" ht="25" customHeight="1">
      <c r="A7" s="3" t="s">
        <v>119</v>
      </c>
      <c r="B7" s="3" t="s">
        <v>122</v>
      </c>
      <c r="C7" s="13" t="s">
        <v>11</v>
      </c>
      <c r="D7" s="3"/>
      <c r="E7" s="3">
        <f>IF(D7="", IFERROR(VLOOKUP(C7, '1. Roster &amp; Roles'!A:C, 3, FALSE), "Unassigned"), D7)</f>
        <v>0</v>
      </c>
      <c r="F7" s="3" t="s">
        <v>121</v>
      </c>
    </row>
    <row r="8" spans="1:6" ht="25" customHeight="1">
      <c r="A8" s="7" t="s">
        <v>119</v>
      </c>
      <c r="B8" s="7" t="s">
        <v>123</v>
      </c>
      <c r="C8" s="13" t="s">
        <v>28</v>
      </c>
      <c r="D8" s="7"/>
      <c r="E8" s="7">
        <f>IF(D8="", IFERROR(VLOOKUP(C8, '1. Roster &amp; Roles'!A:C, 3, FALSE), "Unassigned"), D8)</f>
        <v>0</v>
      </c>
      <c r="F8" s="7" t="s">
        <v>121</v>
      </c>
    </row>
    <row r="9" spans="1:6" ht="25" customHeight="1">
      <c r="A9" s="3" t="s">
        <v>119</v>
      </c>
      <c r="B9" s="3" t="s">
        <v>124</v>
      </c>
      <c r="C9" s="13" t="s">
        <v>32</v>
      </c>
      <c r="D9" s="3"/>
      <c r="E9" s="3">
        <f>IF(D9="", IFERROR(VLOOKUP(C9, '1. Roster &amp; Roles'!A:C, 3, FALSE), "Unassigned"), D9)</f>
        <v>0</v>
      </c>
      <c r="F9" s="3" t="s">
        <v>121</v>
      </c>
    </row>
    <row r="10" spans="1:6" ht="25" customHeight="1">
      <c r="A10" s="7" t="s">
        <v>119</v>
      </c>
      <c r="B10" s="7" t="s">
        <v>125</v>
      </c>
      <c r="C10" s="13" t="s">
        <v>16</v>
      </c>
      <c r="D10" s="7"/>
      <c r="E10" s="7">
        <f>IF(D10="", IFERROR(VLOOKUP(C10, '1. Roster &amp; Roles'!A:C, 3, FALSE), "Unassigned"), D10)</f>
        <v>0</v>
      </c>
      <c r="F10" s="7" t="s">
        <v>121</v>
      </c>
    </row>
    <row r="11" spans="1:6" ht="25" customHeight="1">
      <c r="A11" s="3" t="s">
        <v>119</v>
      </c>
      <c r="B11" s="3" t="s">
        <v>126</v>
      </c>
      <c r="C11" s="13" t="s">
        <v>16</v>
      </c>
      <c r="D11" s="3"/>
      <c r="E11" s="3">
        <f>IF(D11="", IFERROR(VLOOKUP(C11, '1. Roster &amp; Roles'!A:C, 3, FALSE), "Unassigned"), D11)</f>
        <v>0</v>
      </c>
      <c r="F11" s="3" t="s">
        <v>121</v>
      </c>
    </row>
    <row r="12" spans="1:6" ht="25" customHeight="1">
      <c r="A12" s="7" t="s">
        <v>119</v>
      </c>
      <c r="B12" s="7" t="s">
        <v>127</v>
      </c>
      <c r="C12" s="13" t="s">
        <v>21</v>
      </c>
      <c r="D12" s="7"/>
      <c r="E12" s="7">
        <f>IF(D12="", IFERROR(VLOOKUP(C12, '1. Roster &amp; Roles'!A:C, 3, FALSE), "Unassigned"), D12)</f>
        <v>0</v>
      </c>
      <c r="F12" s="7" t="s">
        <v>121</v>
      </c>
    </row>
  </sheetData>
  <dataValidations count="14">
    <dataValidation type="list" allowBlank="1" showInputMessage="1" sqref="D6">
      <formula1>'1. Roster &amp; Roles'!$C$8:$C$25</formula1>
    </dataValidation>
    <dataValidation type="list" allowBlank="1" showInputMessage="1" showErrorMessage="1" sqref="F6">
      <formula1>"Not Started,In Progress,Done"</formula1>
    </dataValidation>
    <dataValidation type="list" allowBlank="1" showInputMessage="1" sqref="D7">
      <formula1>'1. Roster &amp; Roles'!$C$8:$C$25</formula1>
    </dataValidation>
    <dataValidation type="list" allowBlank="1" showInputMessage="1" showErrorMessage="1" sqref="F7">
      <formula1>"Not Started,In Progress,Done"</formula1>
    </dataValidation>
    <dataValidation type="list" allowBlank="1" showInputMessage="1" sqref="D8">
      <formula1>'1. Roster &amp; Roles'!$C$8:$C$25</formula1>
    </dataValidation>
    <dataValidation type="list" allowBlank="1" showInputMessage="1" showErrorMessage="1" sqref="F8">
      <formula1>"Not Started,In Progress,Done"</formula1>
    </dataValidation>
    <dataValidation type="list" allowBlank="1" showInputMessage="1" sqref="D9">
      <formula1>'1. Roster &amp; Roles'!$C$8:$C$25</formula1>
    </dataValidation>
    <dataValidation type="list" allowBlank="1" showInputMessage="1" showErrorMessage="1" sqref="F9">
      <formula1>"Not Started,In Progress,Done"</formula1>
    </dataValidation>
    <dataValidation type="list" allowBlank="1" showInputMessage="1" sqref="D10">
      <formula1>'1. Roster &amp; Roles'!$C$8:$C$25</formula1>
    </dataValidation>
    <dataValidation type="list" allowBlank="1" showInputMessage="1" showErrorMessage="1" sqref="F10">
      <formula1>"Not Started,In Progress,Done"</formula1>
    </dataValidation>
    <dataValidation type="list" allowBlank="1" showInputMessage="1" sqref="D11">
      <formula1>'1. Roster &amp; Roles'!$C$8:$C$25</formula1>
    </dataValidation>
    <dataValidation type="list" allowBlank="1" showInputMessage="1" showErrorMessage="1" sqref="F11">
      <formula1>"Not Started,In Progress,Done"</formula1>
    </dataValidation>
    <dataValidation type="list" allowBlank="1" showInputMessage="1" sqref="D12">
      <formula1>'1. Roster &amp; Roles'!$C$8:$C$25</formula1>
    </dataValidation>
    <dataValidation type="list" allowBlank="1" showInputMessage="1" showErrorMessage="1" sqref="F12">
      <formula1>"Not Started,In Progress,Done"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30"/>
  <sheetViews>
    <sheetView showGridLines="0" workbookViewId="0"/>
  </sheetViews>
  <sheetFormatPr defaultRowHeight="15"/>
  <cols>
    <col min="1" max="2" width="30.7109375" customWidth="1"/>
    <col min="3" max="5" width="20.7109375" customWidth="1"/>
    <col min="6" max="6" width="15.7109375" customWidth="1"/>
  </cols>
  <sheetData>
    <row r="1" spans="1:6">
      <c r="A1" s="1" t="s">
        <v>128</v>
      </c>
    </row>
    <row r="2" spans="1:6">
      <c r="A2" s="8" t="s">
        <v>129</v>
      </c>
    </row>
    <row r="5" spans="1:6">
      <c r="A5" s="5" t="s">
        <v>130</v>
      </c>
      <c r="B5" s="5" t="s">
        <v>131</v>
      </c>
      <c r="C5" s="5" t="s">
        <v>59</v>
      </c>
      <c r="D5" s="5" t="s">
        <v>60</v>
      </c>
      <c r="E5" s="5" t="s">
        <v>117</v>
      </c>
      <c r="F5" s="5" t="s">
        <v>132</v>
      </c>
    </row>
    <row r="6" spans="1:6" ht="22" customHeight="1">
      <c r="A6" s="7" t="s">
        <v>133</v>
      </c>
      <c r="B6" s="7" t="s">
        <v>134</v>
      </c>
      <c r="C6" s="13" t="s">
        <v>16</v>
      </c>
      <c r="D6" s="7"/>
      <c r="E6" s="7">
        <f>IF(D6="", IFERROR(VLOOKUP(C6, '1. Roster &amp; Roles'!A:C, 3, FALSE), "Unassigned"), D6)</f>
        <v>0</v>
      </c>
      <c r="F6" s="7" t="s">
        <v>135</v>
      </c>
    </row>
    <row r="7" spans="1:6" ht="22" customHeight="1">
      <c r="A7" s="3" t="s">
        <v>136</v>
      </c>
      <c r="B7" s="3" t="s">
        <v>137</v>
      </c>
      <c r="C7" s="13" t="s">
        <v>16</v>
      </c>
      <c r="D7" s="3"/>
      <c r="E7" s="3">
        <f>IF(D7="", IFERROR(VLOOKUP(C7, '1. Roster &amp; Roles'!A:C, 3, FALSE), "Unassigned"), D7)</f>
        <v>0</v>
      </c>
      <c r="F7" s="3" t="s">
        <v>135</v>
      </c>
    </row>
    <row r="8" spans="1:6" ht="22" customHeight="1">
      <c r="A8" s="7" t="s">
        <v>138</v>
      </c>
      <c r="B8" s="7" t="s">
        <v>139</v>
      </c>
      <c r="C8" s="13" t="s">
        <v>16</v>
      </c>
      <c r="D8" s="7"/>
      <c r="E8" s="7">
        <f>IF(D8="", IFERROR(VLOOKUP(C8, '1. Roster &amp; Roles'!A:C, 3, FALSE), "Unassigned"), D8)</f>
        <v>0</v>
      </c>
      <c r="F8" s="7" t="s">
        <v>135</v>
      </c>
    </row>
    <row r="9" spans="1:6" ht="22" customHeight="1">
      <c r="A9" s="3" t="s">
        <v>140</v>
      </c>
      <c r="B9" s="3" t="s">
        <v>139</v>
      </c>
      <c r="C9" s="13" t="s">
        <v>16</v>
      </c>
      <c r="D9" s="3"/>
      <c r="E9" s="3">
        <f>IF(D9="", IFERROR(VLOOKUP(C9, '1. Roster &amp; Roles'!A:C, 3, FALSE), "Unassigned"), D9)</f>
        <v>0</v>
      </c>
      <c r="F9" s="3" t="s">
        <v>135</v>
      </c>
    </row>
    <row r="10" spans="1:6" ht="22" customHeight="1">
      <c r="A10" s="7" t="s">
        <v>141</v>
      </c>
      <c r="B10" s="7" t="s">
        <v>134</v>
      </c>
      <c r="C10" s="13" t="s">
        <v>16</v>
      </c>
      <c r="D10" s="7"/>
      <c r="E10" s="7">
        <f>IF(D10="", IFERROR(VLOOKUP(C10, '1. Roster &amp; Roles'!A:C, 3, FALSE), "Unassigned"), D10)</f>
        <v>0</v>
      </c>
      <c r="F10" s="7" t="s">
        <v>135</v>
      </c>
    </row>
    <row r="11" spans="1:6" ht="22" customHeight="1">
      <c r="A11" s="3" t="s">
        <v>142</v>
      </c>
      <c r="B11" s="3" t="s">
        <v>143</v>
      </c>
      <c r="C11" s="13" t="s">
        <v>28</v>
      </c>
      <c r="D11" s="3"/>
      <c r="E11" s="3">
        <f>IF(D11="", IFERROR(VLOOKUP(C11, '1. Roster &amp; Roles'!A:C, 3, FALSE), "Unassigned"), D11)</f>
        <v>0</v>
      </c>
      <c r="F11" s="3" t="s">
        <v>135</v>
      </c>
    </row>
    <row r="12" spans="1:6" ht="22" customHeight="1">
      <c r="A12" s="7" t="s">
        <v>144</v>
      </c>
      <c r="B12" s="7" t="s">
        <v>139</v>
      </c>
      <c r="C12" s="13" t="s">
        <v>16</v>
      </c>
      <c r="D12" s="7"/>
      <c r="E12" s="7">
        <f>IF(D12="", IFERROR(VLOOKUP(C12, '1. Roster &amp; Roles'!A:C, 3, FALSE), "Unassigned"), D12)</f>
        <v>0</v>
      </c>
      <c r="F12" s="7" t="s">
        <v>135</v>
      </c>
    </row>
    <row r="13" spans="1:6" ht="22" customHeight="1">
      <c r="A13" s="3" t="s">
        <v>145</v>
      </c>
      <c r="B13" s="3" t="s">
        <v>134</v>
      </c>
      <c r="C13" s="13" t="s">
        <v>16</v>
      </c>
      <c r="D13" s="3"/>
      <c r="E13" s="3">
        <f>IF(D13="", IFERROR(VLOOKUP(C13, '1. Roster &amp; Roles'!A:C, 3, FALSE), "Unassigned"), D13)</f>
        <v>0</v>
      </c>
      <c r="F13" s="3" t="s">
        <v>135</v>
      </c>
    </row>
    <row r="14" spans="1:6" ht="22" customHeight="1">
      <c r="A14" s="7" t="s">
        <v>146</v>
      </c>
      <c r="B14" s="7" t="s">
        <v>134</v>
      </c>
      <c r="C14" s="13" t="s">
        <v>16</v>
      </c>
      <c r="D14" s="7"/>
      <c r="E14" s="7">
        <f>IF(D14="", IFERROR(VLOOKUP(C14, '1. Roster &amp; Roles'!A:C, 3, FALSE), "Unassigned"), D14)</f>
        <v>0</v>
      </c>
      <c r="F14" s="7" t="s">
        <v>135</v>
      </c>
    </row>
    <row r="15" spans="1:6" ht="22" customHeight="1">
      <c r="A15" s="3" t="s">
        <v>147</v>
      </c>
      <c r="B15" s="3" t="s">
        <v>137</v>
      </c>
      <c r="C15" s="13" t="s">
        <v>16</v>
      </c>
      <c r="D15" s="3"/>
      <c r="E15" s="3">
        <f>IF(D15="", IFERROR(VLOOKUP(C15, '1. Roster &amp; Roles'!A:C, 3, FALSE), "Unassigned"), D15)</f>
        <v>0</v>
      </c>
      <c r="F15" s="3" t="s">
        <v>135</v>
      </c>
    </row>
    <row r="16" spans="1:6" ht="22" customHeight="1">
      <c r="A16" s="7" t="s">
        <v>148</v>
      </c>
      <c r="B16" s="7" t="s">
        <v>134</v>
      </c>
      <c r="C16" s="13" t="s">
        <v>16</v>
      </c>
      <c r="D16" s="7"/>
      <c r="E16" s="7">
        <f>IF(D16="", IFERROR(VLOOKUP(C16, '1. Roster &amp; Roles'!A:C, 3, FALSE), "Unassigned"), D16)</f>
        <v>0</v>
      </c>
      <c r="F16" s="7" t="s">
        <v>135</v>
      </c>
    </row>
    <row r="17" spans="1:6" ht="22" customHeight="1">
      <c r="A17" s="3" t="s">
        <v>149</v>
      </c>
      <c r="B17" s="3" t="s">
        <v>137</v>
      </c>
      <c r="C17" s="13" t="s">
        <v>16</v>
      </c>
      <c r="D17" s="3"/>
      <c r="E17" s="3">
        <f>IF(D17="", IFERROR(VLOOKUP(C17, '1. Roster &amp; Roles'!A:C, 3, FALSE), "Unassigned"), D17)</f>
        <v>0</v>
      </c>
      <c r="F17" s="3" t="s">
        <v>135</v>
      </c>
    </row>
    <row r="18" spans="1:6" ht="22" customHeight="1">
      <c r="A18" s="7" t="s">
        <v>150</v>
      </c>
      <c r="B18" s="7" t="s">
        <v>134</v>
      </c>
      <c r="C18" s="13" t="s">
        <v>16</v>
      </c>
      <c r="D18" s="7"/>
      <c r="E18" s="7">
        <f>IF(D18="", IFERROR(VLOOKUP(C18, '1. Roster &amp; Roles'!A:C, 3, FALSE), "Unassigned"), D18)</f>
        <v>0</v>
      </c>
      <c r="F18" s="7" t="s">
        <v>135</v>
      </c>
    </row>
    <row r="19" spans="1:6" ht="22" customHeight="1">
      <c r="A19" s="3" t="s">
        <v>151</v>
      </c>
      <c r="B19" s="3" t="s">
        <v>134</v>
      </c>
      <c r="C19" s="13" t="s">
        <v>16</v>
      </c>
      <c r="D19" s="3"/>
      <c r="E19" s="3">
        <f>IF(D19="", IFERROR(VLOOKUP(C19, '1. Roster &amp; Roles'!A:C, 3, FALSE), "Unassigned"), D19)</f>
        <v>0</v>
      </c>
      <c r="F19" s="3" t="s">
        <v>135</v>
      </c>
    </row>
    <row r="20" spans="1:6" ht="22" customHeight="1">
      <c r="A20" s="7" t="s">
        <v>152</v>
      </c>
      <c r="B20" s="7" t="s">
        <v>134</v>
      </c>
      <c r="C20" s="13" t="s">
        <v>28</v>
      </c>
      <c r="D20" s="7"/>
      <c r="E20" s="7">
        <f>IF(D20="", IFERROR(VLOOKUP(C20, '1. Roster &amp; Roles'!A:C, 3, FALSE), "Unassigned"), D20)</f>
        <v>0</v>
      </c>
      <c r="F20" s="7" t="s">
        <v>135</v>
      </c>
    </row>
    <row r="21" spans="1:6" ht="22" customHeight="1">
      <c r="A21" s="3" t="s">
        <v>153</v>
      </c>
      <c r="B21" s="3" t="s">
        <v>134</v>
      </c>
      <c r="C21" s="13" t="s">
        <v>16</v>
      </c>
      <c r="D21" s="3"/>
      <c r="E21" s="3">
        <f>IF(D21="", IFERROR(VLOOKUP(C21, '1. Roster &amp; Roles'!A:C, 3, FALSE), "Unassigned"), D21)</f>
        <v>0</v>
      </c>
      <c r="F21" s="3" t="s">
        <v>135</v>
      </c>
    </row>
    <row r="22" spans="1:6" ht="22" customHeight="1">
      <c r="A22" s="7" t="s">
        <v>154</v>
      </c>
      <c r="B22" s="7" t="s">
        <v>134</v>
      </c>
      <c r="C22" s="13" t="s">
        <v>11</v>
      </c>
      <c r="D22" s="7"/>
      <c r="E22" s="7">
        <f>IF(D22="", IFERROR(VLOOKUP(C22, '1. Roster &amp; Roles'!A:C, 3, FALSE), "Unassigned"), D22)</f>
        <v>0</v>
      </c>
      <c r="F22" s="7" t="s">
        <v>135</v>
      </c>
    </row>
    <row r="23" spans="1:6" ht="22" customHeight="1">
      <c r="A23" s="3" t="s">
        <v>155</v>
      </c>
      <c r="B23" s="3" t="s">
        <v>143</v>
      </c>
      <c r="C23" s="13" t="s">
        <v>28</v>
      </c>
      <c r="D23" s="3"/>
      <c r="E23" s="3">
        <f>IF(D23="", IFERROR(VLOOKUP(C23, '1. Roster &amp; Roles'!A:C, 3, FALSE), "Unassigned"), D23)</f>
        <v>0</v>
      </c>
      <c r="F23" s="3" t="s">
        <v>135</v>
      </c>
    </row>
    <row r="24" spans="1:6" ht="22" customHeight="1">
      <c r="A24" s="7" t="s">
        <v>156</v>
      </c>
      <c r="B24" s="7" t="s">
        <v>134</v>
      </c>
      <c r="C24" s="13" t="s">
        <v>28</v>
      </c>
      <c r="D24" s="7"/>
      <c r="E24" s="7">
        <f>IF(D24="", IFERROR(VLOOKUP(C24, '1. Roster &amp; Roles'!A:C, 3, FALSE), "Unassigned"), D24)</f>
        <v>0</v>
      </c>
      <c r="F24" s="7" t="s">
        <v>135</v>
      </c>
    </row>
    <row r="25" spans="1:6" ht="22" customHeight="1">
      <c r="A25" s="3" t="s">
        <v>157</v>
      </c>
      <c r="B25" s="3" t="s">
        <v>134</v>
      </c>
      <c r="C25" s="13" t="s">
        <v>16</v>
      </c>
      <c r="D25" s="3"/>
      <c r="E25" s="3">
        <f>IF(D25="", IFERROR(VLOOKUP(C25, '1. Roster &amp; Roles'!A:C, 3, FALSE), "Unassigned"), D25)</f>
        <v>0</v>
      </c>
      <c r="F25" s="3" t="s">
        <v>135</v>
      </c>
    </row>
    <row r="26" spans="1:6" ht="22" customHeight="1">
      <c r="A26" s="7" t="s">
        <v>158</v>
      </c>
      <c r="B26" s="7" t="s">
        <v>134</v>
      </c>
      <c r="C26" s="13" t="s">
        <v>16</v>
      </c>
      <c r="D26" s="7"/>
      <c r="E26" s="7">
        <f>IF(D26="", IFERROR(VLOOKUP(C26, '1. Roster &amp; Roles'!A:C, 3, FALSE), "Unassigned"), D26)</f>
        <v>0</v>
      </c>
      <c r="F26" s="7" t="s">
        <v>135</v>
      </c>
    </row>
    <row r="27" spans="1:6" ht="22" customHeight="1">
      <c r="A27" s="3" t="s">
        <v>159</v>
      </c>
      <c r="B27" s="3" t="s">
        <v>134</v>
      </c>
      <c r="C27" s="13" t="s">
        <v>16</v>
      </c>
      <c r="D27" s="3"/>
      <c r="E27" s="3">
        <f>IF(D27="", IFERROR(VLOOKUP(C27, '1. Roster &amp; Roles'!A:C, 3, FALSE), "Unassigned"), D27)</f>
        <v>0</v>
      </c>
      <c r="F27" s="3" t="s">
        <v>135</v>
      </c>
    </row>
    <row r="28" spans="1:6" ht="22" customHeight="1">
      <c r="A28" s="7" t="s">
        <v>160</v>
      </c>
      <c r="B28" s="7" t="s">
        <v>161</v>
      </c>
      <c r="C28" s="13" t="s">
        <v>16</v>
      </c>
      <c r="D28" s="7"/>
      <c r="E28" s="7">
        <f>IF(D28="", IFERROR(VLOOKUP(C28, '1. Roster &amp; Roles'!A:C, 3, FALSE), "Unassigned"), D28)</f>
        <v>0</v>
      </c>
      <c r="F28" s="7" t="s">
        <v>135</v>
      </c>
    </row>
    <row r="29" spans="1:6" ht="22" customHeight="1">
      <c r="A29" s="3" t="s">
        <v>162</v>
      </c>
      <c r="B29" s="3" t="s">
        <v>134</v>
      </c>
      <c r="C29" s="13" t="s">
        <v>16</v>
      </c>
      <c r="D29" s="3"/>
      <c r="E29" s="3">
        <f>IF(D29="", IFERROR(VLOOKUP(C29, '1. Roster &amp; Roles'!A:C, 3, FALSE), "Unassigned"), D29)</f>
        <v>0</v>
      </c>
      <c r="F29" s="3" t="s">
        <v>135</v>
      </c>
    </row>
    <row r="30" spans="1:6" ht="22" customHeight="1">
      <c r="A30" s="7" t="s">
        <v>163</v>
      </c>
      <c r="B30" s="7" t="s">
        <v>134</v>
      </c>
      <c r="C30" s="13" t="s">
        <v>16</v>
      </c>
      <c r="D30" s="7"/>
      <c r="E30" s="7">
        <f>IF(D30="", IFERROR(VLOOKUP(C30, '1. Roster &amp; Roles'!A:C, 3, FALSE), "Unassigned"), D30)</f>
        <v>0</v>
      </c>
      <c r="F30" s="7" t="s">
        <v>135</v>
      </c>
    </row>
  </sheetData>
  <dataValidations count="25">
    <dataValidation type="list" allowBlank="1" showInputMessage="1" showErrorMessage="1" sqref="F6">
      <formula1>"[ ],[X] Done"</formula1>
    </dataValidation>
    <dataValidation type="list" allowBlank="1" showInputMessage="1" showErrorMessage="1" sqref="F7">
      <formula1>"[ ],[X] Done"</formula1>
    </dataValidation>
    <dataValidation type="list" allowBlank="1" showInputMessage="1" showErrorMessage="1" sqref="F8">
      <formula1>"[ ],[X] Done"</formula1>
    </dataValidation>
    <dataValidation type="list" allowBlank="1" showInputMessage="1" showErrorMessage="1" sqref="F9">
      <formula1>"[ ],[X] Done"</formula1>
    </dataValidation>
    <dataValidation type="list" allowBlank="1" showInputMessage="1" showErrorMessage="1" sqref="F10">
      <formula1>"[ ],[X] Done"</formula1>
    </dataValidation>
    <dataValidation type="list" allowBlank="1" showInputMessage="1" showErrorMessage="1" sqref="F11">
      <formula1>"[ ],[X] Done"</formula1>
    </dataValidation>
    <dataValidation type="list" allowBlank="1" showInputMessage="1" showErrorMessage="1" sqref="F12">
      <formula1>"[ ],[X] Done"</formula1>
    </dataValidation>
    <dataValidation type="list" allowBlank="1" showInputMessage="1" showErrorMessage="1" sqref="F13">
      <formula1>"[ ],[X] Done"</formula1>
    </dataValidation>
    <dataValidation type="list" allowBlank="1" showInputMessage="1" showErrorMessage="1" sqref="F14">
      <formula1>"[ ],[X] Done"</formula1>
    </dataValidation>
    <dataValidation type="list" allowBlank="1" showInputMessage="1" showErrorMessage="1" sqref="F15">
      <formula1>"[ ],[X] Done"</formula1>
    </dataValidation>
    <dataValidation type="list" allowBlank="1" showInputMessage="1" showErrorMessage="1" sqref="F16">
      <formula1>"[ ],[X] Done"</formula1>
    </dataValidation>
    <dataValidation type="list" allowBlank="1" showInputMessage="1" showErrorMessage="1" sqref="F17">
      <formula1>"[ ],[X] Done"</formula1>
    </dataValidation>
    <dataValidation type="list" allowBlank="1" showInputMessage="1" showErrorMessage="1" sqref="F18">
      <formula1>"[ ],[X] Done"</formula1>
    </dataValidation>
    <dataValidation type="list" allowBlank="1" showInputMessage="1" showErrorMessage="1" sqref="F19">
      <formula1>"[ ],[X] Done"</formula1>
    </dataValidation>
    <dataValidation type="list" allowBlank="1" showInputMessage="1" showErrorMessage="1" sqref="F20">
      <formula1>"[ ],[X] Done"</formula1>
    </dataValidation>
    <dataValidation type="list" allowBlank="1" showInputMessage="1" showErrorMessage="1" sqref="F21">
      <formula1>"[ ],[X] Done"</formula1>
    </dataValidation>
    <dataValidation type="list" allowBlank="1" showInputMessage="1" showErrorMessage="1" sqref="F22">
      <formula1>"[ ],[X] Done"</formula1>
    </dataValidation>
    <dataValidation type="list" allowBlank="1" showInputMessage="1" showErrorMessage="1" sqref="F23">
      <formula1>"[ ],[X] Done"</formula1>
    </dataValidation>
    <dataValidation type="list" allowBlank="1" showInputMessage="1" showErrorMessage="1" sqref="F24">
      <formula1>"[ ],[X] Done"</formula1>
    </dataValidation>
    <dataValidation type="list" allowBlank="1" showInputMessage="1" showErrorMessage="1" sqref="F25">
      <formula1>"[ ],[X] Done"</formula1>
    </dataValidation>
    <dataValidation type="list" allowBlank="1" showInputMessage="1" showErrorMessage="1" sqref="F26">
      <formula1>"[ ],[X] Done"</formula1>
    </dataValidation>
    <dataValidation type="list" allowBlank="1" showInputMessage="1" showErrorMessage="1" sqref="F27">
      <formula1>"[ ],[X] Done"</formula1>
    </dataValidation>
    <dataValidation type="list" allowBlank="1" showInputMessage="1" showErrorMessage="1" sqref="F28">
      <formula1>"[ ],[X] Done"</formula1>
    </dataValidation>
    <dataValidation type="list" allowBlank="1" showInputMessage="1" showErrorMessage="1" sqref="F29">
      <formula1>"[ ],[X] Done"</formula1>
    </dataValidation>
    <dataValidation type="list" allowBlank="1" showInputMessage="1" showErrorMessage="1" sqref="F30">
      <formula1>"[ ],[X] Done"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20"/>
  <sheetViews>
    <sheetView showGridLines="0" workbookViewId="0"/>
  </sheetViews>
  <sheetFormatPr defaultRowHeight="15"/>
  <cols>
    <col min="1" max="2" width="30.7109375" customWidth="1"/>
    <col min="3" max="3" width="20.7109375" customWidth="1"/>
    <col min="4" max="4" width="25.7109375" customWidth="1"/>
    <col min="5" max="7" width="20.7109375" customWidth="1"/>
    <col min="8" max="8" width="15.7109375" customWidth="1"/>
  </cols>
  <sheetData>
    <row r="1" spans="1:8">
      <c r="A1" s="1" t="s">
        <v>164</v>
      </c>
    </row>
    <row r="2" spans="1:8">
      <c r="A2" s="8" t="s">
        <v>165</v>
      </c>
    </row>
    <row r="5" spans="1:8">
      <c r="A5" s="5" t="s">
        <v>130</v>
      </c>
      <c r="B5" s="5" t="s">
        <v>166</v>
      </c>
      <c r="C5" s="5" t="s">
        <v>167</v>
      </c>
      <c r="D5" s="5" t="s">
        <v>168</v>
      </c>
      <c r="E5" s="5" t="s">
        <v>59</v>
      </c>
      <c r="F5" s="5" t="s">
        <v>60</v>
      </c>
      <c r="G5" s="5" t="s">
        <v>117</v>
      </c>
      <c r="H5" s="5" t="s">
        <v>169</v>
      </c>
    </row>
    <row r="6" spans="1:8" ht="22" customHeight="1">
      <c r="A6" s="7" t="s">
        <v>170</v>
      </c>
      <c r="B6" s="13" t="s">
        <v>171</v>
      </c>
      <c r="C6" s="6" t="s">
        <v>134</v>
      </c>
      <c r="D6" s="7" t="s">
        <v>91</v>
      </c>
      <c r="E6" s="13" t="s">
        <v>21</v>
      </c>
      <c r="F6" s="7"/>
      <c r="G6" s="7">
        <f>IF(E6="", IFERROR(VLOOKUP(D6, '1. Roster &amp; Roles'!A:C, 3, FALSE), "Unassigned"), E6)</f>
        <v>0</v>
      </c>
      <c r="H6" s="7" t="s">
        <v>135</v>
      </c>
    </row>
    <row r="7" spans="1:8" ht="22" customHeight="1">
      <c r="A7" s="3" t="s">
        <v>172</v>
      </c>
      <c r="B7" s="13" t="s">
        <v>171</v>
      </c>
      <c r="C7" s="6" t="s">
        <v>134</v>
      </c>
      <c r="D7" s="3" t="s">
        <v>91</v>
      </c>
      <c r="E7" s="13" t="s">
        <v>16</v>
      </c>
      <c r="F7" s="3"/>
      <c r="G7" s="3">
        <f>IF(E7="", IFERROR(VLOOKUP(D7, '1. Roster &amp; Roles'!A:C, 3, FALSE), "Unassigned"), E7)</f>
        <v>0</v>
      </c>
      <c r="H7" s="3" t="s">
        <v>135</v>
      </c>
    </row>
    <row r="8" spans="1:8" ht="22" customHeight="1">
      <c r="A8" s="7" t="s">
        <v>173</v>
      </c>
      <c r="B8" s="13" t="s">
        <v>171</v>
      </c>
      <c r="C8" s="6" t="s">
        <v>134</v>
      </c>
      <c r="D8" s="7" t="s">
        <v>91</v>
      </c>
      <c r="E8" s="13" t="s">
        <v>16</v>
      </c>
      <c r="F8" s="7"/>
      <c r="G8" s="7">
        <f>IF(E8="", IFERROR(VLOOKUP(D8, '1. Roster &amp; Roles'!A:C, 3, FALSE), "Unassigned"), E8)</f>
        <v>0</v>
      </c>
      <c r="H8" s="7" t="s">
        <v>135</v>
      </c>
    </row>
    <row r="9" spans="1:8" ht="22" customHeight="1">
      <c r="A9" s="3" t="s">
        <v>174</v>
      </c>
      <c r="B9" s="13" t="s">
        <v>171</v>
      </c>
      <c r="C9" s="6" t="s">
        <v>134</v>
      </c>
      <c r="D9" s="3" t="s">
        <v>91</v>
      </c>
      <c r="E9" s="13" t="s">
        <v>21</v>
      </c>
      <c r="F9" s="3"/>
      <c r="G9" s="3">
        <f>IF(E9="", IFERROR(VLOOKUP(D9, '1. Roster &amp; Roles'!A:C, 3, FALSE), "Unassigned"), E9)</f>
        <v>0</v>
      </c>
      <c r="H9" s="3" t="s">
        <v>135</v>
      </c>
    </row>
    <row r="10" spans="1:8" ht="22" customHeight="1">
      <c r="A10" s="7" t="s">
        <v>175</v>
      </c>
      <c r="B10" s="13" t="s">
        <v>176</v>
      </c>
      <c r="C10" s="6">
        <f>'1. Roster &amp; Roles'!$G$2</f>
        <v>0</v>
      </c>
      <c r="D10" s="7" t="s">
        <v>78</v>
      </c>
      <c r="E10" s="13" t="s">
        <v>21</v>
      </c>
      <c r="F10" s="7"/>
      <c r="G10" s="7">
        <f>IF(E10="", IFERROR(VLOOKUP(D10, '1. Roster &amp; Roles'!A:C, 3, FALSE), "Unassigned"), E10)</f>
        <v>0</v>
      </c>
      <c r="H10" s="7" t="s">
        <v>135</v>
      </c>
    </row>
    <row r="11" spans="1:8" ht="22" customHeight="1">
      <c r="A11" s="3" t="s">
        <v>177</v>
      </c>
      <c r="B11" s="13" t="s">
        <v>178</v>
      </c>
      <c r="C11" s="6">
        <f>'1. Roster &amp; Roles'!$G$5</f>
        <v>0</v>
      </c>
      <c r="D11" s="3" t="s">
        <v>78</v>
      </c>
      <c r="E11" s="13" t="s">
        <v>16</v>
      </c>
      <c r="F11" s="3"/>
      <c r="G11" s="3">
        <f>IF(E11="", IFERROR(VLOOKUP(D11, '1. Roster &amp; Roles'!A:C, 3, FALSE), "Unassigned"), E11)</f>
        <v>0</v>
      </c>
      <c r="H11" s="3" t="s">
        <v>135</v>
      </c>
    </row>
    <row r="12" spans="1:8" ht="22" customHeight="1">
      <c r="A12" s="7" t="s">
        <v>179</v>
      </c>
      <c r="B12" s="13" t="s">
        <v>171</v>
      </c>
      <c r="C12" s="6" t="s">
        <v>134</v>
      </c>
      <c r="D12" s="7" t="s">
        <v>109</v>
      </c>
      <c r="E12" s="13" t="s">
        <v>24</v>
      </c>
      <c r="F12" s="7"/>
      <c r="G12" s="7">
        <f>IF(E12="", IFERROR(VLOOKUP(D12, '1. Roster &amp; Roles'!A:C, 3, FALSE), "Unassigned"), E12)</f>
        <v>0</v>
      </c>
      <c r="H12" s="7" t="s">
        <v>135</v>
      </c>
    </row>
    <row r="13" spans="1:8" ht="22" customHeight="1">
      <c r="A13" s="3" t="s">
        <v>180</v>
      </c>
      <c r="B13" s="13" t="s">
        <v>178</v>
      </c>
      <c r="C13" s="6">
        <f>'1. Roster &amp; Roles'!$G$5</f>
        <v>0</v>
      </c>
      <c r="D13" s="3" t="s">
        <v>94</v>
      </c>
      <c r="E13" s="13" t="s">
        <v>45</v>
      </c>
      <c r="F13" s="3"/>
      <c r="G13" s="3">
        <f>IF(E13="", IFERROR(VLOOKUP(D13, '1. Roster &amp; Roles'!A:C, 3, FALSE), "Unassigned"), E13)</f>
        <v>0</v>
      </c>
      <c r="H13" s="3" t="s">
        <v>135</v>
      </c>
    </row>
    <row r="14" spans="1:8" ht="22" customHeight="1">
      <c r="A14" s="7" t="s">
        <v>181</v>
      </c>
      <c r="B14" s="13" t="s">
        <v>178</v>
      </c>
      <c r="C14" s="6">
        <f>'1. Roster &amp; Roles'!$G$5</f>
        <v>0</v>
      </c>
      <c r="D14" s="7" t="s">
        <v>68</v>
      </c>
      <c r="E14" s="13" t="s">
        <v>24</v>
      </c>
      <c r="F14" s="7"/>
      <c r="G14" s="7">
        <f>IF(E14="", IFERROR(VLOOKUP(D14, '1. Roster &amp; Roles'!A:C, 3, FALSE), "Unassigned"), E14)</f>
        <v>0</v>
      </c>
      <c r="H14" s="7" t="s">
        <v>135</v>
      </c>
    </row>
    <row r="15" spans="1:8" ht="22" customHeight="1">
      <c r="A15" s="3" t="s">
        <v>182</v>
      </c>
      <c r="B15" s="13" t="s">
        <v>171</v>
      </c>
      <c r="C15" s="6" t="s">
        <v>134</v>
      </c>
      <c r="D15" s="3" t="s">
        <v>68</v>
      </c>
      <c r="E15" s="13" t="s">
        <v>24</v>
      </c>
      <c r="F15" s="3"/>
      <c r="G15" s="3">
        <f>IF(E15="", IFERROR(VLOOKUP(D15, '1. Roster &amp; Roles'!A:C, 3, FALSE), "Unassigned"), E15)</f>
        <v>0</v>
      </c>
      <c r="H15" s="3" t="s">
        <v>135</v>
      </c>
    </row>
    <row r="16" spans="1:8" ht="22" customHeight="1">
      <c r="A16" s="7" t="s">
        <v>183</v>
      </c>
      <c r="B16" s="13" t="s">
        <v>184</v>
      </c>
      <c r="C16" s="6">
        <f>CEILING('1. Roster &amp; Roles'!$G$5 / 2, 0.5)</f>
        <v>0</v>
      </c>
      <c r="D16" s="7" t="s">
        <v>71</v>
      </c>
      <c r="E16" s="13" t="s">
        <v>16</v>
      </c>
      <c r="F16" s="7"/>
      <c r="G16" s="7">
        <f>IF(E16="", IFERROR(VLOOKUP(D16, '1. Roster &amp; Roles'!A:C, 3, FALSE), "Unassigned"), E16)</f>
        <v>0</v>
      </c>
      <c r="H16" s="7" t="s">
        <v>135</v>
      </c>
    </row>
    <row r="17" spans="1:8" ht="22" customHeight="1">
      <c r="A17" s="3" t="s">
        <v>185</v>
      </c>
      <c r="B17" s="13" t="s">
        <v>178</v>
      </c>
      <c r="C17" s="6">
        <f>'1. Roster &amp; Roles'!$G$5</f>
        <v>0</v>
      </c>
      <c r="D17" s="3" t="s">
        <v>71</v>
      </c>
      <c r="E17" s="13" t="s">
        <v>16</v>
      </c>
      <c r="F17" s="3"/>
      <c r="G17" s="3">
        <f>IF(E17="", IFERROR(VLOOKUP(D17, '1. Roster &amp; Roles'!A:C, 3, FALSE), "Unassigned"), E17)</f>
        <v>0</v>
      </c>
      <c r="H17" s="3" t="s">
        <v>135</v>
      </c>
    </row>
    <row r="18" spans="1:8" ht="22" customHeight="1">
      <c r="A18" s="7" t="s">
        <v>186</v>
      </c>
      <c r="B18" s="13" t="s">
        <v>178</v>
      </c>
      <c r="C18" s="6">
        <f>'1. Roster &amp; Roles'!$G$5</f>
        <v>0</v>
      </c>
      <c r="D18" s="7" t="s">
        <v>71</v>
      </c>
      <c r="E18" s="13" t="s">
        <v>16</v>
      </c>
      <c r="F18" s="7"/>
      <c r="G18" s="7">
        <f>IF(E18="", IFERROR(VLOOKUP(D18, '1. Roster &amp; Roles'!A:C, 3, FALSE), "Unassigned"), E18)</f>
        <v>0</v>
      </c>
      <c r="H18" s="7" t="s">
        <v>135</v>
      </c>
    </row>
    <row r="19" spans="1:8" ht="22" customHeight="1">
      <c r="A19" s="3" t="s">
        <v>187</v>
      </c>
      <c r="B19" s="13" t="s">
        <v>188</v>
      </c>
      <c r="C19" s="6">
        <f>'1. Roster &amp; Roles'!$G$5 * 2</f>
        <v>0</v>
      </c>
      <c r="D19" s="3" t="s">
        <v>71</v>
      </c>
      <c r="E19" s="13" t="s">
        <v>16</v>
      </c>
      <c r="F19" s="3"/>
      <c r="G19" s="3">
        <f>IF(E19="", IFERROR(VLOOKUP(D19, '1. Roster &amp; Roles'!A:C, 3, FALSE), "Unassigned"), E19)</f>
        <v>0</v>
      </c>
      <c r="H19" s="3" t="s">
        <v>135</v>
      </c>
    </row>
    <row r="20" spans="1:8" ht="22" customHeight="1">
      <c r="A20" s="7" t="s">
        <v>189</v>
      </c>
      <c r="B20" s="13" t="s">
        <v>188</v>
      </c>
      <c r="C20" s="6">
        <f>'1. Roster &amp; Roles'!$G$5 * 2</f>
        <v>0</v>
      </c>
      <c r="D20" s="7" t="s">
        <v>71</v>
      </c>
      <c r="E20" s="13" t="s">
        <v>16</v>
      </c>
      <c r="F20" s="7"/>
      <c r="G20" s="7">
        <f>IF(E20="", IFERROR(VLOOKUP(D20, '1. Roster &amp; Roles'!A:C, 3, FALSE), "Unassigned"), E20)</f>
        <v>0</v>
      </c>
      <c r="H20" s="7" t="s">
        <v>135</v>
      </c>
    </row>
  </sheetData>
  <dataValidations count="30">
    <dataValidation type="list" allowBlank="1" showInputMessage="1" sqref="D6">
      <formula1>'2. Dynamic Timetable'!$F$8:$F$40</formula1>
    </dataValidation>
    <dataValidation type="list" allowBlank="1" showInputMessage="1" showErrorMessage="1" sqref="H6">
      <formula1>"[ ],[X] Done"</formula1>
    </dataValidation>
    <dataValidation type="list" allowBlank="1" showInputMessage="1" sqref="D7">
      <formula1>'2. Dynamic Timetable'!$F$8:$F$40</formula1>
    </dataValidation>
    <dataValidation type="list" allowBlank="1" showInputMessage="1" showErrorMessage="1" sqref="H7">
      <formula1>"[ ],[X] Done"</formula1>
    </dataValidation>
    <dataValidation type="list" allowBlank="1" showInputMessage="1" sqref="D8">
      <formula1>'2. Dynamic Timetable'!$F$8:$F$40</formula1>
    </dataValidation>
    <dataValidation type="list" allowBlank="1" showInputMessage="1" showErrorMessage="1" sqref="H8">
      <formula1>"[ ],[X] Done"</formula1>
    </dataValidation>
    <dataValidation type="list" allowBlank="1" showInputMessage="1" sqref="D9">
      <formula1>'2. Dynamic Timetable'!$F$8:$F$40</formula1>
    </dataValidation>
    <dataValidation type="list" allowBlank="1" showInputMessage="1" showErrorMessage="1" sqref="H9">
      <formula1>"[ ],[X] Done"</formula1>
    </dataValidation>
    <dataValidation type="list" allowBlank="1" showInputMessage="1" sqref="D10">
      <formula1>'2. Dynamic Timetable'!$F$8:$F$40</formula1>
    </dataValidation>
    <dataValidation type="list" allowBlank="1" showInputMessage="1" showErrorMessage="1" sqref="H10">
      <formula1>"[ ],[X] Done"</formula1>
    </dataValidation>
    <dataValidation type="list" allowBlank="1" showInputMessage="1" sqref="D11">
      <formula1>'2. Dynamic Timetable'!$F$8:$F$40</formula1>
    </dataValidation>
    <dataValidation type="list" allowBlank="1" showInputMessage="1" showErrorMessage="1" sqref="H11">
      <formula1>"[ ],[X] Done"</formula1>
    </dataValidation>
    <dataValidation type="list" allowBlank="1" showInputMessage="1" sqref="D12">
      <formula1>'2. Dynamic Timetable'!$F$8:$F$40</formula1>
    </dataValidation>
    <dataValidation type="list" allowBlank="1" showInputMessage="1" showErrorMessage="1" sqref="H12">
      <formula1>"[ ],[X] Done"</formula1>
    </dataValidation>
    <dataValidation type="list" allowBlank="1" showInputMessage="1" sqref="D13">
      <formula1>'2. Dynamic Timetable'!$F$8:$F$40</formula1>
    </dataValidation>
    <dataValidation type="list" allowBlank="1" showInputMessage="1" showErrorMessage="1" sqref="H13">
      <formula1>"[ ],[X] Done"</formula1>
    </dataValidation>
    <dataValidation type="list" allowBlank="1" showInputMessage="1" sqref="D14">
      <formula1>'2. Dynamic Timetable'!$F$8:$F$40</formula1>
    </dataValidation>
    <dataValidation type="list" allowBlank="1" showInputMessage="1" showErrorMessage="1" sqref="H14">
      <formula1>"[ ],[X] Done"</formula1>
    </dataValidation>
    <dataValidation type="list" allowBlank="1" showInputMessage="1" sqref="D15">
      <formula1>'2. Dynamic Timetable'!$F$8:$F$40</formula1>
    </dataValidation>
    <dataValidation type="list" allowBlank="1" showInputMessage="1" showErrorMessage="1" sqref="H15">
      <formula1>"[ ],[X] Done"</formula1>
    </dataValidation>
    <dataValidation type="list" allowBlank="1" showInputMessage="1" sqref="D16">
      <formula1>'2. Dynamic Timetable'!$F$8:$F$40</formula1>
    </dataValidation>
    <dataValidation type="list" allowBlank="1" showInputMessage="1" showErrorMessage="1" sqref="H16">
      <formula1>"[ ],[X] Done"</formula1>
    </dataValidation>
    <dataValidation type="list" allowBlank="1" showInputMessage="1" sqref="D17">
      <formula1>'2. Dynamic Timetable'!$F$8:$F$40</formula1>
    </dataValidation>
    <dataValidation type="list" allowBlank="1" showInputMessage="1" showErrorMessage="1" sqref="H17">
      <formula1>"[ ],[X] Done"</formula1>
    </dataValidation>
    <dataValidation type="list" allowBlank="1" showInputMessage="1" sqref="D18">
      <formula1>'2. Dynamic Timetable'!$F$8:$F$40</formula1>
    </dataValidation>
    <dataValidation type="list" allowBlank="1" showInputMessage="1" showErrorMessage="1" sqref="H18">
      <formula1>"[ ],[X] Done"</formula1>
    </dataValidation>
    <dataValidation type="list" allowBlank="1" showInputMessage="1" sqref="D19">
      <formula1>'2. Dynamic Timetable'!$F$8:$F$40</formula1>
    </dataValidation>
    <dataValidation type="list" allowBlank="1" showInputMessage="1" showErrorMessage="1" sqref="H19">
      <formula1>"[ ],[X] Done"</formula1>
    </dataValidation>
    <dataValidation type="list" allowBlank="1" showInputMessage="1" sqref="D20">
      <formula1>'2. Dynamic Timetable'!$F$8:$F$40</formula1>
    </dataValidation>
    <dataValidation type="list" allowBlank="1" showInputMessage="1" showErrorMessage="1" sqref="H20">
      <formula1>"[ ],[X] Done"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23"/>
  <sheetViews>
    <sheetView showGridLines="0" workbookViewId="0"/>
  </sheetViews>
  <sheetFormatPr defaultRowHeight="15"/>
  <cols>
    <col min="1" max="2" width="30.7109375" customWidth="1"/>
    <col min="3" max="5" width="20.7109375" customWidth="1"/>
    <col min="6" max="6" width="15.7109375" customWidth="1"/>
  </cols>
  <sheetData>
    <row r="1" spans="1:6">
      <c r="A1" s="1" t="s">
        <v>190</v>
      </c>
    </row>
    <row r="2" spans="1:6">
      <c r="A2" s="8" t="s">
        <v>191</v>
      </c>
    </row>
    <row r="5" spans="1:6">
      <c r="A5" s="5" t="s">
        <v>130</v>
      </c>
      <c r="B5" s="5" t="s">
        <v>192</v>
      </c>
      <c r="C5" s="5" t="s">
        <v>59</v>
      </c>
      <c r="D5" s="5" t="s">
        <v>60</v>
      </c>
      <c r="E5" s="5" t="s">
        <v>117</v>
      </c>
      <c r="F5" s="5" t="s">
        <v>193</v>
      </c>
    </row>
    <row r="6" spans="1:6" ht="22" customHeight="1">
      <c r="A6" s="7" t="s">
        <v>194</v>
      </c>
      <c r="B6" s="6">
        <f>'1. Roster &amp; Roles'!$G$5 &amp; " portions"</f>
        <v>0</v>
      </c>
      <c r="C6" s="13" t="s">
        <v>28</v>
      </c>
      <c r="D6" s="7"/>
      <c r="E6" s="7">
        <f>IF(D6="", IFERROR(VLOOKUP(C6, '1. Roster &amp; Roles'!A:C, 3, FALSE), "Unassigned"), D6)</f>
        <v>0</v>
      </c>
      <c r="F6" s="7" t="s">
        <v>135</v>
      </c>
    </row>
    <row r="7" spans="1:6" ht="22" customHeight="1">
      <c r="A7" s="3" t="s">
        <v>195</v>
      </c>
      <c r="B7" s="6">
        <f>ROUNDUP('1. Roster &amp; Roles'!$G$5 / 20, 0) &amp; " jars"</f>
        <v>0</v>
      </c>
      <c r="C7" s="13" t="s">
        <v>28</v>
      </c>
      <c r="D7" s="3"/>
      <c r="E7" s="3">
        <f>IF(D7="", IFERROR(VLOOKUP(C7, '1. Roster &amp; Roles'!A:C, 3, FALSE), "Unassigned"), D7)</f>
        <v>0</v>
      </c>
      <c r="F7" s="3" t="s">
        <v>135</v>
      </c>
    </row>
    <row r="8" spans="1:6" ht="22" customHeight="1">
      <c r="A8" s="7" t="s">
        <v>196</v>
      </c>
      <c r="B8" s="6">
        <f>ROUNDUP('1. Roster &amp; Roles'!$G$5 / 40, 0) &amp; " Kg"</f>
        <v>0</v>
      </c>
      <c r="C8" s="13" t="s">
        <v>28</v>
      </c>
      <c r="D8" s="7"/>
      <c r="E8" s="7">
        <f>IF(D8="", IFERROR(VLOOKUP(C8, '1. Roster &amp; Roles'!A:C, 3, FALSE), "Unassigned"), D8)</f>
        <v>0</v>
      </c>
      <c r="F8" s="7" t="s">
        <v>135</v>
      </c>
    </row>
    <row r="9" spans="1:6" ht="22" customHeight="1">
      <c r="A9" s="3" t="s">
        <v>197</v>
      </c>
      <c r="B9" s="6">
        <f>ROUNDUP('1. Roster &amp; Roles'!$G$5 * 0.28, 0) &amp; " L"</f>
        <v>0</v>
      </c>
      <c r="C9" s="13" t="s">
        <v>28</v>
      </c>
      <c r="D9" s="3"/>
      <c r="E9" s="3">
        <f>IF(D9="", IFERROR(VLOOKUP(C9, '1. Roster &amp; Roles'!A:C, 3, FALSE), "Unassigned"), D9)</f>
        <v>0</v>
      </c>
      <c r="F9" s="3" t="s">
        <v>135</v>
      </c>
    </row>
    <row r="10" spans="1:6" ht="22" customHeight="1">
      <c r="A10" s="7" t="s">
        <v>198</v>
      </c>
      <c r="B10" s="6" t="s">
        <v>199</v>
      </c>
      <c r="C10" s="13" t="s">
        <v>28</v>
      </c>
      <c r="D10" s="7"/>
      <c r="E10" s="7">
        <f>IF(D10="", IFERROR(VLOOKUP(C10, '1. Roster &amp; Roles'!A:C, 3, FALSE), "Unassigned"), D10)</f>
        <v>0</v>
      </c>
      <c r="F10" s="7" t="s">
        <v>135</v>
      </c>
    </row>
    <row r="11" spans="1:6" ht="22" customHeight="1">
      <c r="A11" s="3" t="s">
        <v>200</v>
      </c>
      <c r="B11" s="6">
        <f>ROUNDUP('1. Roster &amp; Roles'!$G$5 / 6, 0) &amp; " boxes"</f>
        <v>0</v>
      </c>
      <c r="C11" s="13" t="s">
        <v>28</v>
      </c>
      <c r="D11" s="3"/>
      <c r="E11" s="3">
        <f>IF(D11="", IFERROR(VLOOKUP(C11, '1. Roster &amp; Roles'!A:C, 3, FALSE), "Unassigned"), D11)</f>
        <v>0</v>
      </c>
      <c r="F11" s="3" t="s">
        <v>135</v>
      </c>
    </row>
    <row r="12" spans="1:6" ht="22" customHeight="1">
      <c r="A12" s="7" t="s">
        <v>201</v>
      </c>
      <c r="B12" s="6">
        <f>ROUNDUP('1. Roster &amp; Roles'!$G$5 / 7, 0) &amp; " bags"</f>
        <v>0</v>
      </c>
      <c r="C12" s="13" t="s">
        <v>28</v>
      </c>
      <c r="D12" s="7"/>
      <c r="E12" s="7">
        <f>IF(D12="", IFERROR(VLOOKUP(C12, '1. Roster &amp; Roles'!A:C, 3, FALSE), "Unassigned"), D12)</f>
        <v>0</v>
      </c>
      <c r="F12" s="7" t="s">
        <v>135</v>
      </c>
    </row>
    <row r="13" spans="1:6" ht="22" customHeight="1">
      <c r="A13" s="3" t="s">
        <v>202</v>
      </c>
      <c r="B13" s="6">
        <f>ROUNDUP('1. Roster &amp; Roles'!$G$5 / 14, 0) &amp; " x 300g packets"</f>
        <v>0</v>
      </c>
      <c r="C13" s="13" t="s">
        <v>28</v>
      </c>
      <c r="D13" s="3"/>
      <c r="E13" s="3">
        <f>IF(D13="", IFERROR(VLOOKUP(C13, '1. Roster &amp; Roles'!A:C, 3, FALSE), "Unassigned"), D13)</f>
        <v>0</v>
      </c>
      <c r="F13" s="3" t="s">
        <v>135</v>
      </c>
    </row>
    <row r="14" spans="1:6" ht="22" customHeight="1">
      <c r="A14" s="7" t="s">
        <v>203</v>
      </c>
      <c r="B14" s="6" t="s">
        <v>199</v>
      </c>
      <c r="C14" s="13" t="s">
        <v>28</v>
      </c>
      <c r="D14" s="7"/>
      <c r="E14" s="7">
        <f>IF(D14="", IFERROR(VLOOKUP(C14, '1. Roster &amp; Roles'!A:C, 3, FALSE), "Unassigned"), D14)</f>
        <v>0</v>
      </c>
      <c r="F14" s="7" t="s">
        <v>135</v>
      </c>
    </row>
    <row r="15" spans="1:6" ht="22" customHeight="1">
      <c r="A15" s="3" t="s">
        <v>204</v>
      </c>
      <c r="B15" s="6" t="s">
        <v>205</v>
      </c>
      <c r="C15" s="13" t="s">
        <v>28</v>
      </c>
      <c r="D15" s="3"/>
      <c r="E15" s="3">
        <f>IF(D15="", IFERROR(VLOOKUP(C15, '1. Roster &amp; Roles'!A:C, 3, FALSE), "Unassigned"), D15)</f>
        <v>0</v>
      </c>
      <c r="F15" s="3" t="s">
        <v>135</v>
      </c>
    </row>
    <row r="16" spans="1:6" ht="22" customHeight="1">
      <c r="A16" s="7" t="s">
        <v>206</v>
      </c>
      <c r="B16" s="6" t="s">
        <v>205</v>
      </c>
      <c r="C16" s="13" t="s">
        <v>28</v>
      </c>
      <c r="D16" s="7"/>
      <c r="E16" s="7">
        <f>IF(D16="", IFERROR(VLOOKUP(C16, '1. Roster &amp; Roles'!A:C, 3, FALSE), "Unassigned"), D16)</f>
        <v>0</v>
      </c>
      <c r="F16" s="7" t="s">
        <v>135</v>
      </c>
    </row>
    <row r="17" spans="1:6" ht="22" customHeight="1">
      <c r="A17" s="3" t="s">
        <v>207</v>
      </c>
      <c r="B17" s="6">
        <f>ROUNDUP('1. Roster &amp; Roles'!$G$5 / 40, 0) &amp; " x 500g packets"</f>
        <v>0</v>
      </c>
      <c r="C17" s="13" t="s">
        <v>28</v>
      </c>
      <c r="D17" s="3"/>
      <c r="E17" s="3">
        <f>IF(D17="", IFERROR(VLOOKUP(C17, '1. Roster &amp; Roles'!A:C, 3, FALSE), "Unassigned"), D17)</f>
        <v>0</v>
      </c>
      <c r="F17" s="3" t="s">
        <v>135</v>
      </c>
    </row>
    <row r="18" spans="1:6" ht="22" customHeight="1">
      <c r="A18" s="7" t="s">
        <v>208</v>
      </c>
      <c r="B18" s="6">
        <f>ROUNDUP('1. Roster &amp; Roles'!$G$5 / 10, 0) &amp; " pkts"</f>
        <v>0</v>
      </c>
      <c r="C18" s="13" t="s">
        <v>28</v>
      </c>
      <c r="D18" s="7"/>
      <c r="E18" s="7">
        <f>IF(D18="", IFERROR(VLOOKUP(C18, '1. Roster &amp; Roles'!A:C, 3, FALSE), "Unassigned"), D18)</f>
        <v>0</v>
      </c>
      <c r="F18" s="7" t="s">
        <v>135</v>
      </c>
    </row>
    <row r="19" spans="1:6" ht="22" customHeight="1">
      <c r="A19" s="3" t="s">
        <v>209</v>
      </c>
      <c r="B19" s="6" t="s">
        <v>210</v>
      </c>
      <c r="C19" s="13" t="s">
        <v>28</v>
      </c>
      <c r="D19" s="3"/>
      <c r="E19" s="3">
        <f>IF(D19="", IFERROR(VLOOKUP(C19, '1. Roster &amp; Roles'!A:C, 3, FALSE), "Unassigned"), D19)</f>
        <v>0</v>
      </c>
      <c r="F19" s="3" t="s">
        <v>135</v>
      </c>
    </row>
    <row r="20" spans="1:6" ht="22" customHeight="1">
      <c r="A20" s="7" t="s">
        <v>211</v>
      </c>
      <c r="B20" s="6" t="s">
        <v>212</v>
      </c>
      <c r="C20" s="13" t="s">
        <v>28</v>
      </c>
      <c r="D20" s="7"/>
      <c r="E20" s="7">
        <f>IF(D20="", IFERROR(VLOOKUP(C20, '1. Roster &amp; Roles'!A:C, 3, FALSE), "Unassigned"), D20)</f>
        <v>0</v>
      </c>
      <c r="F20" s="7" t="s">
        <v>135</v>
      </c>
    </row>
    <row r="21" spans="1:6" ht="22" customHeight="1">
      <c r="A21" s="3" t="s">
        <v>213</v>
      </c>
      <c r="B21" s="6">
        <f>ROUNDUP('1. Roster &amp; Roles'!$G$5 / 20, 0) &amp; " L"</f>
        <v>0</v>
      </c>
      <c r="C21" s="13" t="s">
        <v>28</v>
      </c>
      <c r="D21" s="3"/>
      <c r="E21" s="3">
        <f>IF(D21="", IFERROR(VLOOKUP(C21, '1. Roster &amp; Roles'!A:C, 3, FALSE), "Unassigned"), D21)</f>
        <v>0</v>
      </c>
      <c r="F21" s="3" t="s">
        <v>135</v>
      </c>
    </row>
    <row r="22" spans="1:6" ht="22" customHeight="1">
      <c r="A22" s="7" t="s">
        <v>214</v>
      </c>
      <c r="B22" s="6" t="s">
        <v>215</v>
      </c>
      <c r="C22" s="13" t="s">
        <v>28</v>
      </c>
      <c r="D22" s="7"/>
      <c r="E22" s="7">
        <f>IF(D22="", IFERROR(VLOOKUP(C22, '1. Roster &amp; Roles'!A:C, 3, FALSE), "Unassigned"), D22)</f>
        <v>0</v>
      </c>
      <c r="F22" s="7" t="s">
        <v>135</v>
      </c>
    </row>
    <row r="23" spans="1:6" ht="22" customHeight="1">
      <c r="A23" s="3" t="s">
        <v>216</v>
      </c>
      <c r="B23" s="6" t="s">
        <v>217</v>
      </c>
      <c r="C23" s="13" t="s">
        <v>28</v>
      </c>
      <c r="D23" s="3"/>
      <c r="E23" s="3">
        <f>IF(D23="", IFERROR(VLOOKUP(C23, '1. Roster &amp; Roles'!A:C, 3, FALSE), "Unassigned"), D23)</f>
        <v>0</v>
      </c>
      <c r="F23" s="3" t="s">
        <v>135</v>
      </c>
    </row>
  </sheetData>
  <dataValidations count="18">
    <dataValidation type="list" allowBlank="1" showInputMessage="1" showErrorMessage="1" sqref="F6">
      <formula1>"[ ],[X] Done"</formula1>
    </dataValidation>
    <dataValidation type="list" allowBlank="1" showInputMessage="1" showErrorMessage="1" sqref="F7">
      <formula1>"[ ],[X] Done"</formula1>
    </dataValidation>
    <dataValidation type="list" allowBlank="1" showInputMessage="1" showErrorMessage="1" sqref="F8">
      <formula1>"[ ],[X] Done"</formula1>
    </dataValidation>
    <dataValidation type="list" allowBlank="1" showInputMessage="1" showErrorMessage="1" sqref="F9">
      <formula1>"[ ],[X] Done"</formula1>
    </dataValidation>
    <dataValidation type="list" allowBlank="1" showInputMessage="1" showErrorMessage="1" sqref="F10">
      <formula1>"[ ],[X] Done"</formula1>
    </dataValidation>
    <dataValidation type="list" allowBlank="1" showInputMessage="1" showErrorMessage="1" sqref="F11">
      <formula1>"[ ],[X] Done"</formula1>
    </dataValidation>
    <dataValidation type="list" allowBlank="1" showInputMessage="1" showErrorMessage="1" sqref="F12">
      <formula1>"[ ],[X] Done"</formula1>
    </dataValidation>
    <dataValidation type="list" allowBlank="1" showInputMessage="1" showErrorMessage="1" sqref="F13">
      <formula1>"[ ],[X] Done"</formula1>
    </dataValidation>
    <dataValidation type="list" allowBlank="1" showInputMessage="1" showErrorMessage="1" sqref="F14">
      <formula1>"[ ],[X] Done"</formula1>
    </dataValidation>
    <dataValidation type="list" allowBlank="1" showInputMessage="1" showErrorMessage="1" sqref="F15">
      <formula1>"[ ],[X] Done"</formula1>
    </dataValidation>
    <dataValidation type="list" allowBlank="1" showInputMessage="1" showErrorMessage="1" sqref="F16">
      <formula1>"[ ],[X] Done"</formula1>
    </dataValidation>
    <dataValidation type="list" allowBlank="1" showInputMessage="1" showErrorMessage="1" sqref="F17">
      <formula1>"[ ],[X] Done"</formula1>
    </dataValidation>
    <dataValidation type="list" allowBlank="1" showInputMessage="1" showErrorMessage="1" sqref="F18">
      <formula1>"[ ],[X] Done"</formula1>
    </dataValidation>
    <dataValidation type="list" allowBlank="1" showInputMessage="1" showErrorMessage="1" sqref="F19">
      <formula1>"[ ],[X] Done"</formula1>
    </dataValidation>
    <dataValidation type="list" allowBlank="1" showInputMessage="1" showErrorMessage="1" sqref="F20">
      <formula1>"[ ],[X] Done"</formula1>
    </dataValidation>
    <dataValidation type="list" allowBlank="1" showInputMessage="1" showErrorMessage="1" sqref="F21">
      <formula1>"[ ],[X] Done"</formula1>
    </dataValidation>
    <dataValidation type="list" allowBlank="1" showInputMessage="1" showErrorMessage="1" sqref="F22">
      <formula1>"[ ],[X] Done"</formula1>
    </dataValidation>
    <dataValidation type="list" allowBlank="1" showInputMessage="1" showErrorMessage="1" sqref="F23">
      <formula1>"[ ],[X] Done"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4"/>
  <sheetViews>
    <sheetView showGridLines="0" workbookViewId="0"/>
  </sheetViews>
  <sheetFormatPr defaultRowHeight="15"/>
  <cols>
    <col min="1" max="1" width="20.7109375" customWidth="1"/>
    <col min="2" max="2" width="35.7109375" customWidth="1"/>
    <col min="3" max="3" width="85.7109375" customWidth="1"/>
  </cols>
  <sheetData>
    <row r="1" spans="1:3">
      <c r="A1" s="1" t="s">
        <v>218</v>
      </c>
    </row>
    <row r="2" spans="1:3">
      <c r="A2" s="8" t="s">
        <v>219</v>
      </c>
    </row>
    <row r="5" spans="1:3">
      <c r="A5" s="5" t="s">
        <v>168</v>
      </c>
      <c r="B5" s="5" t="s">
        <v>220</v>
      </c>
      <c r="C5" s="5" t="s">
        <v>221</v>
      </c>
    </row>
    <row r="6" spans="1:3" ht="120" customHeight="1">
      <c r="A6" s="7" t="s">
        <v>66</v>
      </c>
      <c r="B6" s="7" t="s">
        <v>222</v>
      </c>
      <c r="C6" s="7" t="s">
        <v>223</v>
      </c>
    </row>
    <row r="7" spans="1:3" ht="120" customHeight="1">
      <c r="A7" s="3" t="s">
        <v>68</v>
      </c>
      <c r="B7" s="3" t="s">
        <v>224</v>
      </c>
      <c r="C7" s="3" t="s">
        <v>225</v>
      </c>
    </row>
    <row r="8" spans="1:3" ht="120" customHeight="1">
      <c r="A8" s="7" t="s">
        <v>78</v>
      </c>
      <c r="B8" s="7" t="s">
        <v>226</v>
      </c>
      <c r="C8" s="7" t="s">
        <v>227</v>
      </c>
    </row>
    <row r="9" spans="1:3" ht="120" customHeight="1">
      <c r="A9" s="3" t="s">
        <v>81</v>
      </c>
      <c r="B9" s="3" t="s">
        <v>228</v>
      </c>
      <c r="C9" s="3" t="s">
        <v>229</v>
      </c>
    </row>
    <row r="10" spans="1:3" ht="120" customHeight="1">
      <c r="A10" s="7" t="s">
        <v>91</v>
      </c>
      <c r="B10" s="7" t="s">
        <v>230</v>
      </c>
      <c r="C10" s="7" t="s">
        <v>231</v>
      </c>
    </row>
    <row r="11" spans="1:3" ht="120" customHeight="1">
      <c r="A11" s="3" t="s">
        <v>94</v>
      </c>
      <c r="B11" s="3" t="s">
        <v>232</v>
      </c>
      <c r="C11" s="3" t="s">
        <v>233</v>
      </c>
    </row>
    <row r="12" spans="1:3" ht="120" customHeight="1">
      <c r="A12" s="7" t="s">
        <v>96</v>
      </c>
      <c r="B12" s="7" t="s">
        <v>234</v>
      </c>
      <c r="C12" s="7" t="s">
        <v>235</v>
      </c>
    </row>
    <row r="13" spans="1:3" ht="120" customHeight="1">
      <c r="A13" s="3" t="s">
        <v>101</v>
      </c>
      <c r="B13" s="3" t="s">
        <v>236</v>
      </c>
      <c r="C13" s="3" t="s">
        <v>237</v>
      </c>
    </row>
    <row r="14" spans="1:3" ht="120" customHeight="1">
      <c r="A14" s="7" t="s">
        <v>109</v>
      </c>
      <c r="B14" s="7" t="s">
        <v>238</v>
      </c>
      <c r="C14" s="7" t="s">
        <v>239</v>
      </c>
    </row>
  </sheetData>
  <dataValidations count="9">
    <dataValidation type="list" allowBlank="1" showInputMessage="1" sqref="A6">
      <formula1>'2. Dynamic Timetable'!$F$8:$F$40</formula1>
    </dataValidation>
    <dataValidation type="list" allowBlank="1" showInputMessage="1" sqref="A7">
      <formula1>'2. Dynamic Timetable'!$F$8:$F$40</formula1>
    </dataValidation>
    <dataValidation type="list" allowBlank="1" showInputMessage="1" sqref="A8">
      <formula1>'2. Dynamic Timetable'!$F$8:$F$40</formula1>
    </dataValidation>
    <dataValidation type="list" allowBlank="1" showInputMessage="1" sqref="A9">
      <formula1>'2. Dynamic Timetable'!$F$8:$F$40</formula1>
    </dataValidation>
    <dataValidation type="list" allowBlank="1" showInputMessage="1" sqref="A10">
      <formula1>'2. Dynamic Timetable'!$F$8:$F$40</formula1>
    </dataValidation>
    <dataValidation type="list" allowBlank="1" showInputMessage="1" sqref="A11">
      <formula1>'2. Dynamic Timetable'!$F$8:$F$40</formula1>
    </dataValidation>
    <dataValidation type="list" allowBlank="1" showInputMessage="1" sqref="A12">
      <formula1>'2. Dynamic Timetable'!$F$8:$F$40</formula1>
    </dataValidation>
    <dataValidation type="list" allowBlank="1" showInputMessage="1" sqref="A13">
      <formula1>'2. Dynamic Timetable'!$F$8:$F$40</formula1>
    </dataValidation>
    <dataValidation type="list" allowBlank="1" showInputMessage="1" sqref="A14">
      <formula1>'2. Dynamic Timetable'!$F$8:$F$40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Roster &amp; Roles</vt:lpstr>
      <vt:lpstr>2. Dynamic Timetable</vt:lpstr>
      <vt:lpstr>3. Task Checklist</vt:lpstr>
      <vt:lpstr>4. Camp Equipment</vt:lpstr>
      <vt:lpstr>5. Activity Equipment</vt:lpstr>
      <vt:lpstr>6. Food Shopping</vt:lpstr>
      <vt:lpstr>7. Activity Playbook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2026-07-21T20:43:26Z</dcterms:created>
  <dcterms:modified xsi:type="dcterms:W3CDTF">2026-07-21T20:43:26Z</dcterms:modified>
</cp:coreProperties>
</file>
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oster &amp; Roles" sheetId="1" r:id="rId1"/>
    <sheet name="2. Dynamic Timetable" sheetId="2" r:id="rId2"/>
    <sheet name="3. Task Checklist" sheetId="3" r:id="rId3"/>
    <sheet name="4. Equipment &amp; Shopping" sheetId="4" r:id="rId4"/>
    <sheet name="5. Activity Playbook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<sst xmlns="http://schemas.openxmlformats.org/spreadsheetml/2006/main" count="576" uniqueCount="238">
  <si>
    <t>Roles &amp; Volunteer Roster</t>
  </si>
  <si>
    <t>Role</t>
  </si>
  <si>
    <t>Detailed Description &amp; Default Duties</t>
  </si>
  <si>
    <t>Assigned Leader</t>
  </si>
  <si>
    <t>Contact Number</t>
  </si>
  <si>
    <t>Email</t>
  </si>
  <si>
    <t>Oversight Lead</t>
  </si>
  <si>
    <t>• Ultimate decision-making authority during the camp.
• Handles live issues (emergencies, weather changes).
• Leads high-level reflections and debriefs.</t>
  </si>
  <si>
    <t>Ian Sinclair</t>
  </si>
  <si>
    <t>+27 63 893 9452</t>
  </si>
  <si>
    <t>sinclairian2408@gmail.com</t>
  </si>
  <si>
    <t>Logistics Lead</t>
  </si>
  <si>
    <t>• Manages all physical setup and breakdown.
• Coordinates camp layout, tents/bivvies, fire preparation.</t>
  </si>
  <si>
    <t>Neil Harrower</t>
  </si>
  <si>
    <t>+27 71 950 8363</t>
  </si>
  <si>
    <t>neilharrower@gmail.com</t>
  </si>
  <si>
    <t>Session Coordinator</t>
  </si>
  <si>
    <t>• Facilitates the core structured spiritual/emotional sessions (e.g., Malachi discussion).</t>
  </si>
  <si>
    <t>Marvin Welby-Solomon</t>
  </si>
  <si>
    <t>Communion Leader</t>
  </si>
  <si>
    <t>• Specifically runs the communion session on Sunday morning.</t>
  </si>
  <si>
    <t>Richard Walker</t>
  </si>
  <si>
    <t>Administration</t>
  </si>
  <si>
    <t>• Handles all paperwork, nametags, and gate-keeping.</t>
  </si>
  <si>
    <t>Paul Barter</t>
  </si>
  <si>
    <t>Activity Facilitator</t>
  </si>
  <si>
    <t>• Brings high energy to run the games and challenges (Clay Latte, Tug of War, Name Games).</t>
  </si>
  <si>
    <t>Kingsley Williams</t>
  </si>
  <si>
    <t>+27 83 260 5311</t>
  </si>
  <si>
    <t>Catering / Food Lead</t>
  </si>
  <si>
    <t>• Owns the food schedule. Ensures meals are prepped on time.</t>
  </si>
  <si>
    <t>Kevin de Wet</t>
  </si>
  <si>
    <t>+27 82 908 2460</t>
  </si>
  <si>
    <t>General Helper 1</t>
  </si>
  <si>
    <t>Assists the Logistics and Catering leads where extra hands are needed.</t>
  </si>
  <si>
    <t>Raldo Kruger</t>
  </si>
  <si>
    <t>+27 84 511 8606</t>
  </si>
  <si>
    <t>General Helper 2</t>
  </si>
  <si>
    <t>Assists the Activity Facilitator and Session Coordinator.</t>
  </si>
  <si>
    <t>Gavin Graham</t>
  </si>
  <si>
    <t>Kickoff Camp Run Sheet</t>
  </si>
  <si>
    <t>Change the Camp Start Time below. Live tasks will calculate sequentially. Type into "Manual Start Override" to break the chain and set a custom time.</t>
  </si>
  <si>
    <t>Camp Start Time:</t>
  </si>
  <si>
    <t>Day</t>
  </si>
  <si>
    <t>Phase</t>
  </si>
  <si>
    <t>Manual Start Override</t>
  </si>
  <si>
    <t>Calculated Start</t>
  </si>
  <si>
    <t>Calculated End</t>
  </si>
  <si>
    <t>Duration (min)</t>
  </si>
  <si>
    <t>Activity Name</t>
  </si>
  <si>
    <t>Full Task Description</t>
  </si>
  <si>
    <t>Linked Equipment</t>
  </si>
  <si>
    <t>Default Role</t>
  </si>
  <si>
    <t>Custom Override</t>
  </si>
  <si>
    <t>Final Leader</t>
  </si>
  <si>
    <t>Saturday</t>
  </si>
  <si>
    <t>Arrival</t>
  </si>
  <si>
    <t>Arrive at camp, name tags, get to know contacts</t>
  </si>
  <si>
    <t>Ice Breaker</t>
  </si>
  <si>
    <t>Get to know each other (Daughters introduce Fathers, name game)</t>
  </si>
  <si>
    <t>Activity</t>
  </si>
  <si>
    <t>Clay Latte</t>
  </si>
  <si>
    <t>Father and daughter activities (Clay Latte) &amp; Dam swim</t>
  </si>
  <si>
    <t>Setup</t>
  </si>
  <si>
    <t>Camp Setup</t>
  </si>
  <si>
    <t>Set-up shelters, Bivvie equipment, prepare fire</t>
  </si>
  <si>
    <t>Dinner Prep</t>
  </si>
  <si>
    <t>Prepare and Cook Supper</t>
  </si>
  <si>
    <t>Dinner</t>
  </si>
  <si>
    <t>Dads and daughters have supper together</t>
  </si>
  <si>
    <t>Evening</t>
  </si>
  <si>
    <t>Stokbrood</t>
  </si>
  <si>
    <t>Marshmallows and stokbrood at fire, chat about questions</t>
  </si>
  <si>
    <t>Wind Down</t>
  </si>
  <si>
    <t>Skits &amp; Debrief</t>
  </si>
  <si>
    <t>Present skits and carving, end of evening debrief</t>
  </si>
  <si>
    <t>Lights Out</t>
  </si>
  <si>
    <t>Bed Time</t>
  </si>
  <si>
    <t>Bed time</t>
  </si>
  <si>
    <t>Sunday</t>
  </si>
  <si>
    <t>Morning</t>
  </si>
  <si>
    <t>Wake Up</t>
  </si>
  <si>
    <t>Wake up, dam swim, boil kettles, coffee</t>
  </si>
  <si>
    <t>Session 1</t>
  </si>
  <si>
    <t>Malachi</t>
  </si>
  <si>
    <t>Malachi discussion (sand demo) and communion</t>
  </si>
  <si>
    <t>Communion</t>
  </si>
  <si>
    <t>Administer Communion elements</t>
  </si>
  <si>
    <t>Session 2</t>
  </si>
  <si>
    <t>Quiet Time</t>
  </si>
  <si>
    <t>Father and Daughter Quiet time (reflect on Malachi)</t>
  </si>
  <si>
    <t>Breakfast</t>
  </si>
  <si>
    <t>Session 3</t>
  </si>
  <si>
    <t>Manhood Talk</t>
  </si>
  <si>
    <t>Dad's talk and daughters talk split</t>
  </si>
  <si>
    <t>Debrief</t>
  </si>
  <si>
    <t>Final Debrief</t>
  </si>
  <si>
    <t>Reflection on the sleepover, present carving</t>
  </si>
  <si>
    <t>Pack Up</t>
  </si>
  <si>
    <t>Pack up camp</t>
  </si>
  <si>
    <t>Tug of War</t>
  </si>
  <si>
    <t>Father and Daughter Activity (Tug of war, Swim)</t>
  </si>
  <si>
    <t>Departure</t>
  </si>
  <si>
    <t>Depart from camp</t>
  </si>
  <si>
    <t>Pre-Camp Task Checklist</t>
  </si>
  <si>
    <t>Action items and pre-planning organization that need to be completed before arrival.</t>
  </si>
  <si>
    <t>Category</t>
  </si>
  <si>
    <t>Task Description</t>
  </si>
  <si>
    <t>Final Assigned</t>
  </si>
  <si>
    <t>Status</t>
  </si>
  <si>
    <t>Pre-Planning</t>
  </si>
  <si>
    <t>Finalize RSVP list and dietary requirements</t>
  </si>
  <si>
    <t>Not Started</t>
  </si>
  <si>
    <t>Review medical forms</t>
  </si>
  <si>
    <t>Purchase all shopping list items (Food/Drinks)</t>
  </si>
  <si>
    <t>Print Name Tags and laminate Father/Daughter questions</t>
  </si>
  <si>
    <t>Confirm venue access codes and final layout</t>
  </si>
  <si>
    <t>Pack all camp equipment, tents, and activities gear</t>
  </si>
  <si>
    <t>Pre-pack braai brood and perishables</t>
  </si>
  <si>
    <t>Download YouTube Malachi scripture video</t>
  </si>
  <si>
    <t>Master Equipment &amp; Shopping List</t>
  </si>
  <si>
    <t>Item</t>
  </si>
  <si>
    <t>Qty</t>
  </si>
  <si>
    <t>Linked Activity</t>
  </si>
  <si>
    <t>Camp Equipment</t>
  </si>
  <si>
    <t>Washing bowl</t>
  </si>
  <si>
    <t>1</t>
  </si>
  <si>
    <t>Pending</t>
  </si>
  <si>
    <t>Dish towel</t>
  </si>
  <si>
    <t>2</t>
  </si>
  <si>
    <t>Dish cloth</t>
  </si>
  <si>
    <t>5</t>
  </si>
  <si>
    <t>Dish scourers</t>
  </si>
  <si>
    <t>Dish washing liquid</t>
  </si>
  <si>
    <t>Chopping board (wooden)</t>
  </si>
  <si>
    <t>4</t>
  </si>
  <si>
    <t>Garbage bags</t>
  </si>
  <si>
    <t>Spade</t>
  </si>
  <si>
    <t>Water Carrier</t>
  </si>
  <si>
    <t>Gas bottles</t>
  </si>
  <si>
    <t>Gas kettle (Large)</t>
  </si>
  <si>
    <t>Gas plate</t>
  </si>
  <si>
    <t>Gas kettle (small)</t>
  </si>
  <si>
    <t>Gas two plater</t>
  </si>
  <si>
    <t>Cutlery set</t>
  </si>
  <si>
    <t>Gas fire starter (rod)</t>
  </si>
  <si>
    <t>First aid</t>
  </si>
  <si>
    <t>Tongs</t>
  </si>
  <si>
    <t>Bodum</t>
  </si>
  <si>
    <t>Braai grid (large)</t>
  </si>
  <si>
    <t>Journey Banner</t>
  </si>
  <si>
    <t>Fire lighter</t>
  </si>
  <si>
    <t>Camping mats</t>
  </si>
  <si>
    <t>6</t>
  </si>
  <si>
    <t>Axe</t>
  </si>
  <si>
    <t>Mallet</t>
  </si>
  <si>
    <t>Prop for earth shaking</t>
  </si>
  <si>
    <t>Speaker</t>
  </si>
  <si>
    <t>Projector</t>
  </si>
  <si>
    <t>Activities</t>
  </si>
  <si>
    <t>Downloaded YouTube Malachi video</t>
  </si>
  <si>
    <t>Dad and daughter questions</t>
  </si>
  <si>
    <t>16</t>
  </si>
  <si>
    <t>Stokbrood Stok</t>
  </si>
  <si>
    <t>43</t>
  </si>
  <si>
    <t>Tug of war rope</t>
  </si>
  <si>
    <t>Communion cups</t>
  </si>
  <si>
    <t>50</t>
  </si>
  <si>
    <t>Claylatt</t>
  </si>
  <si>
    <t>Clay - bag</t>
  </si>
  <si>
    <t>Bivvy's (Shelter)</t>
  </si>
  <si>
    <t>21.5</t>
  </si>
  <si>
    <t>Latte short (Shelter)</t>
  </si>
  <si>
    <t>Latte long (Shelter)</t>
  </si>
  <si>
    <t>Guy ropes (Shelter)</t>
  </si>
  <si>
    <t>86</t>
  </si>
  <si>
    <t>Pegs (Shelter)</t>
  </si>
  <si>
    <t>Shopping List (Food)</t>
  </si>
  <si>
    <t>Dough for stokbrood</t>
  </si>
  <si>
    <t>43 portions</t>
  </si>
  <si>
    <t>Coffee Instant</t>
  </si>
  <si>
    <t>2 jars</t>
  </si>
  <si>
    <t>Coffee Ground</t>
  </si>
  <si>
    <t>1 Kg</t>
  </si>
  <si>
    <t>Long life milk</t>
  </si>
  <si>
    <t>12L</t>
  </si>
  <si>
    <t>Sugar</t>
  </si>
  <si>
    <t>1kg</t>
  </si>
  <si>
    <t>Rusks</t>
  </si>
  <si>
    <t>8 boxes</t>
  </si>
  <si>
    <t>Braai Brood (stok brood)</t>
  </si>
  <si>
    <t>6 bags</t>
  </si>
  <si>
    <t>Marshmallows</t>
  </si>
  <si>
    <t>3 x 300g</t>
  </si>
  <si>
    <t>Mieliemeal</t>
  </si>
  <si>
    <t>Rooibos</t>
  </si>
  <si>
    <t>1 box</t>
  </si>
  <si>
    <t>Ceylon</t>
  </si>
  <si>
    <t>Hot chocolate</t>
  </si>
  <si>
    <t>1 x 500g</t>
  </si>
  <si>
    <t>Marie biscuits</t>
  </si>
  <si>
    <t>4 pkts</t>
  </si>
  <si>
    <t>Tomato sauce</t>
  </si>
  <si>
    <t>2 bottles</t>
  </si>
  <si>
    <t>Syrup</t>
  </si>
  <si>
    <t>Communion juice (Grape)</t>
  </si>
  <si>
    <t>2 L</t>
  </si>
  <si>
    <t>Butro Butter</t>
  </si>
  <si>
    <t>500g</t>
  </si>
  <si>
    <t>Communion loaf</t>
  </si>
  <si>
    <t>1 loaf</t>
  </si>
  <si>
    <t>Personal Equipment (Bring)</t>
  </si>
  <si>
    <t>Plates &amp; Bowls</t>
  </si>
  <si>
    <t>1/person</t>
  </si>
  <si>
    <t>Coffee mug &amp; Water bottle</t>
  </si>
  <si>
    <t>Loo paper</t>
  </si>
  <si>
    <t>1 roll</t>
  </si>
  <si>
    <t>Tent, Chairs, Mattress</t>
  </si>
  <si>
    <t>1/family</t>
  </si>
  <si>
    <t>Sleeping bags, Pillows</t>
  </si>
  <si>
    <t>Towels, Jackets, Swim stuff</t>
  </si>
  <si>
    <t>Toiletries, Meds, Suncream</t>
  </si>
  <si>
    <t>Torches/batteries</t>
  </si>
  <si>
    <t>Insect repellent</t>
  </si>
  <si>
    <t>Activity Playbook</t>
  </si>
  <si>
    <t>Detailed rules, concepts, and instructions for each activity.</t>
  </si>
  <si>
    <t>Goal / Objective</t>
  </si>
  <si>
    <t>Instructions &amp; Rules</t>
  </si>
  <si>
    <t>Draw fathers and daughters together through teamwork.</t>
  </si>
  <si>
    <t>Dad and daughter tied together with a guy rope. Must navigate an obstacle course or complete a challenge as a mixed team across the middle line.</t>
  </si>
  <si>
    <t>Quality conversational time.</t>
  </si>
  <si>
    <t>Layout tables, maize meal, dough, stokke, syrup, and marshmallows by the fire. Dads and daughters cook their stokbrood while discussing the printed question cards.</t>
  </si>
  <si>
    <t>Spiritual reflection on restoration.</t>
  </si>
  <si>
    <t>Show the downloaded YouTube video of the Malachi scripture on the projector/speaker. Demo the shaking sand in a tray. Discuss how the solution is Fathers turning towards children and vice versa.</t>
  </si>
  <si>
    <t>Spiritual reflection and partaking.</t>
  </si>
  <si>
    <t>Administer the communion elements (juice and loaf) together.</t>
  </si>
  <si>
    <t>Teamwork and responsibility.</t>
  </si>
  <si>
    <t>Sons/Daughters oversee the packing of their family tent and gear before participating in the final activity.</t>
  </si>
</sst>
</file>

<file path=xl/styles.xml><?xml version="1.0" encoding="utf-8"?>
<styleSheet xmlns="http://schemas.openxmlformats.org/spreadsheetml/2006/main">
  <numFmts count="2">
    <numFmt numFmtId="164" formatCode="yyyy-mm-dd hh:mm AM/PM"/>
    <numFmt numFmtId="165" formatCode="ddd, mmm d - hh:mm AM/PM"/>
  </numFmts>
  <fonts count="7">
    <font>
      <sz val="11"/>
      <color theme="1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34495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E44AD"/>
      <name val="Calibri"/>
      <family val="2"/>
      <scheme val="minor"/>
    </font>
    <font>
      <sz val="11"/>
      <color rgb="FF5D6D7E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5D8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64" fontId="4" fillId="4" borderId="1" xfId="0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showGridLines="0" tabSelected="1" workbookViewId="0"/>
  </sheetViews>
  <sheetFormatPr defaultRowHeight="15"/>
  <cols>
    <col min="1" max="1" width="22.7109375" customWidth="1"/>
    <col min="2" max="2" width="70.7109375" customWidth="1"/>
    <col min="3" max="3" width="20.7109375" customWidth="1"/>
    <col min="4" max="4" width="18.7109375" customWidth="1"/>
    <col min="5" max="5" width="25.7109375" customWidth="1"/>
  </cols>
  <sheetData>
    <row r="1" spans="1:5">
      <c r="A1" s="1" t="s">
        <v>0</v>
      </c>
    </row>
    <row r="4" spans="1: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60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5" ht="60" customHeight="1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</row>
    <row r="7" spans="1:5" ht="60" customHeight="1">
      <c r="A7" s="3" t="s">
        <v>16</v>
      </c>
      <c r="B7" s="3" t="s">
        <v>17</v>
      </c>
      <c r="C7" s="3" t="s">
        <v>18</v>
      </c>
      <c r="D7" s="3"/>
      <c r="E7" s="3"/>
    </row>
    <row r="8" spans="1:5" ht="60" customHeight="1">
      <c r="A8" s="4" t="s">
        <v>19</v>
      </c>
      <c r="B8" s="4" t="s">
        <v>20</v>
      </c>
      <c r="C8" s="4" t="s">
        <v>21</v>
      </c>
      <c r="D8" s="4"/>
      <c r="E8" s="4"/>
    </row>
    <row r="9" spans="1:5" ht="60" customHeight="1">
      <c r="A9" s="3" t="s">
        <v>22</v>
      </c>
      <c r="B9" s="3" t="s">
        <v>23</v>
      </c>
      <c r="C9" s="3" t="s">
        <v>24</v>
      </c>
      <c r="D9" s="3"/>
      <c r="E9" s="3"/>
    </row>
    <row r="10" spans="1:5" ht="60" customHeight="1">
      <c r="A10" s="4" t="s">
        <v>25</v>
      </c>
      <c r="B10" s="4" t="s">
        <v>26</v>
      </c>
      <c r="C10" s="4" t="s">
        <v>27</v>
      </c>
      <c r="D10" s="4" t="s">
        <v>28</v>
      </c>
      <c r="E10" s="4"/>
    </row>
    <row r="11" spans="1:5" ht="60" customHeight="1">
      <c r="A11" s="3" t="s">
        <v>29</v>
      </c>
      <c r="B11" s="3" t="s">
        <v>30</v>
      </c>
      <c r="C11" s="3" t="s">
        <v>31</v>
      </c>
      <c r="D11" s="3" t="s">
        <v>32</v>
      </c>
      <c r="E11" s="3"/>
    </row>
    <row r="12" spans="1:5" ht="60" customHeight="1">
      <c r="A12" s="4" t="s">
        <v>33</v>
      </c>
      <c r="B12" s="4" t="s">
        <v>34</v>
      </c>
      <c r="C12" s="4" t="s">
        <v>35</v>
      </c>
      <c r="D12" s="4" t="s">
        <v>36</v>
      </c>
      <c r="E12" s="4"/>
    </row>
    <row r="13" spans="1:5" ht="60" customHeight="1">
      <c r="A13" s="3" t="s">
        <v>37</v>
      </c>
      <c r="B13" s="3" t="s">
        <v>38</v>
      </c>
      <c r="C13" s="3" t="s">
        <v>39</v>
      </c>
      <c r="D13" s="3"/>
      <c r="E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showGridLines="0" workbookViewId="0"/>
  </sheetViews>
  <sheetFormatPr defaultRowHeight="15"/>
  <cols>
    <col min="1" max="2" width="12.7109375" customWidth="1"/>
    <col min="3" max="3" width="18.7109375" customWidth="1"/>
    <col min="4" max="5" width="28.7109375" customWidth="1"/>
    <col min="6" max="6" width="20.7109375" customWidth="1"/>
    <col min="7" max="7" width="45.7109375" customWidth="1"/>
    <col min="8" max="8" width="35.7109375" customWidth="1"/>
    <col min="9" max="11" width="20.7109375" customWidth="1"/>
  </cols>
  <sheetData>
    <row r="1" spans="1:12">
      <c r="A1" s="1" t="s">
        <v>40</v>
      </c>
    </row>
    <row r="2" spans="1:12">
      <c r="A2" s="5" t="s">
        <v>41</v>
      </c>
    </row>
    <row r="4" spans="1:12">
      <c r="B4" s="6" t="s">
        <v>42</v>
      </c>
      <c r="D4" s="7">
        <v>46053.625</v>
      </c>
    </row>
    <row r="7" spans="1:12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  <c r="K7" s="2" t="s">
        <v>53</v>
      </c>
      <c r="L7" s="2" t="s">
        <v>54</v>
      </c>
    </row>
    <row r="8" spans="1:12" ht="30" customHeight="1">
      <c r="A8" s="3" t="s">
        <v>55</v>
      </c>
      <c r="B8" s="3" t="s">
        <v>56</v>
      </c>
      <c r="C8" s="8"/>
      <c r="D8" s="9">
        <f>IF(C8&lt;&gt;"", C8, $D$4)</f>
        <v>0</v>
      </c>
      <c r="E8" s="9">
        <f>D8 + (F8/1440)</f>
        <v>0</v>
      </c>
      <c r="F8" s="3">
        <v>30</v>
      </c>
      <c r="G8" s="3" t="s">
        <v>56</v>
      </c>
      <c r="H8" s="3" t="s">
        <v>57</v>
      </c>
      <c r="I8" s="10" cm="1">
        <f t="array" ref="I8">IFERROR(JOIN(", ", _xlfn._xlws.FILTER('4. Equipment &amp; Shopping'!B:B, '4. Equipment &amp; Shopping'!D:D=G8)), "None")</f>
        <v>0</v>
      </c>
      <c r="J8" s="10" t="s">
        <v>22</v>
      </c>
      <c r="K8" s="3"/>
      <c r="L8" s="3">
        <f>IF(K8="", IFERROR(VLOOKUP(J8, '1. Roster &amp; Roles'!A:C, 3, FALSE), "Unassigned"), K8)</f>
        <v>0</v>
      </c>
    </row>
    <row r="9" spans="1:12" ht="30" customHeight="1">
      <c r="A9" s="4" t="s">
        <v>55</v>
      </c>
      <c r="B9" s="4" t="s">
        <v>58</v>
      </c>
      <c r="C9" s="8"/>
      <c r="D9" s="11">
        <f>IF(C9&lt;&gt;"", C9, E8)</f>
        <v>0</v>
      </c>
      <c r="E9" s="11">
        <f>D9 + (F9/1440)</f>
        <v>0</v>
      </c>
      <c r="F9" s="4">
        <v>30</v>
      </c>
      <c r="G9" s="4" t="s">
        <v>58</v>
      </c>
      <c r="H9" s="4" t="s">
        <v>59</v>
      </c>
      <c r="I9" s="10" cm="1">
        <f t="array" ref="I9">IFERROR(JOIN(", ", _xlfn._xlws.FILTER('4. Equipment &amp; Shopping'!B:B, '4. Equipment &amp; Shopping'!D:D=G9)), "None")</f>
        <v>0</v>
      </c>
      <c r="J9" s="10" t="s">
        <v>25</v>
      </c>
      <c r="K9" s="4"/>
      <c r="L9" s="4">
        <f>IF(K9="", IFERROR(VLOOKUP(J9, '1. Roster &amp; Roles'!A:C, 3, FALSE), "Unassigned"), K9)</f>
        <v>0</v>
      </c>
    </row>
    <row r="10" spans="1:12" ht="30" customHeight="1">
      <c r="A10" s="3" t="s">
        <v>55</v>
      </c>
      <c r="B10" s="3" t="s">
        <v>60</v>
      </c>
      <c r="C10" s="8"/>
      <c r="D10" s="9">
        <f>IF(C10&lt;&gt;"", C10, E9)</f>
        <v>0</v>
      </c>
      <c r="E10" s="9">
        <f>D10 + (F10/1440)</f>
        <v>0</v>
      </c>
      <c r="F10" s="3">
        <v>90</v>
      </c>
      <c r="G10" s="3" t="s">
        <v>61</v>
      </c>
      <c r="H10" s="3" t="s">
        <v>62</v>
      </c>
      <c r="I10" s="10" cm="1">
        <f t="array" ref="I10">IFERROR(JOIN(", ", _xlfn._xlws.FILTER('4. Equipment &amp; Shopping'!B:B, '4. Equipment &amp; Shopping'!D:D=G10)), "None")</f>
        <v>0</v>
      </c>
      <c r="J10" s="10" t="s">
        <v>25</v>
      </c>
      <c r="K10" s="3"/>
      <c r="L10" s="3">
        <f>IF(K10="", IFERROR(VLOOKUP(J10, '1. Roster &amp; Roles'!A:C, 3, FALSE), "Unassigned"), K10)</f>
        <v>0</v>
      </c>
    </row>
    <row r="11" spans="1:12" ht="30" customHeight="1">
      <c r="A11" s="4" t="s">
        <v>55</v>
      </c>
      <c r="B11" s="4" t="s">
        <v>63</v>
      </c>
      <c r="C11" s="8"/>
      <c r="D11" s="11">
        <f>IF(C11&lt;&gt;"", C11, E10)</f>
        <v>0</v>
      </c>
      <c r="E11" s="11">
        <f>D11 + (F11/1440)</f>
        <v>0</v>
      </c>
      <c r="F11" s="4">
        <v>90</v>
      </c>
      <c r="G11" s="4" t="s">
        <v>64</v>
      </c>
      <c r="H11" s="4" t="s">
        <v>65</v>
      </c>
      <c r="I11" s="10" cm="1">
        <f t="array" ref="I11">IFERROR(JOIN(", ", _xlfn._xlws.FILTER('4. Equipment &amp; Shopping'!B:B, '4. Equipment &amp; Shopping'!D:D=G11)), "None")</f>
        <v>0</v>
      </c>
      <c r="J11" s="10" t="s">
        <v>11</v>
      </c>
      <c r="K11" s="4"/>
      <c r="L11" s="4">
        <f>IF(K11="", IFERROR(VLOOKUP(J11, '1. Roster &amp; Roles'!A:C, 3, FALSE), "Unassigned"), K11)</f>
        <v>0</v>
      </c>
    </row>
    <row r="12" spans="1:12" ht="30" customHeight="1">
      <c r="A12" s="3" t="s">
        <v>55</v>
      </c>
      <c r="B12" s="3" t="s">
        <v>66</v>
      </c>
      <c r="C12" s="8"/>
      <c r="D12" s="9">
        <f>IF(C12&lt;&gt;"", C12, E11)</f>
        <v>0</v>
      </c>
      <c r="E12" s="9">
        <f>D12 + (F12/1440)</f>
        <v>0</v>
      </c>
      <c r="F12" s="3">
        <v>60</v>
      </c>
      <c r="G12" s="3" t="s">
        <v>66</v>
      </c>
      <c r="H12" s="3" t="s">
        <v>67</v>
      </c>
      <c r="I12" s="10" cm="1">
        <f t="array" ref="I12">IFERROR(JOIN(", ", _xlfn._xlws.FILTER('4. Equipment &amp; Shopping'!B:B, '4. Equipment &amp; Shopping'!D:D=G12)), "None")</f>
        <v>0</v>
      </c>
      <c r="J12" s="10" t="s">
        <v>29</v>
      </c>
      <c r="K12" s="3"/>
      <c r="L12" s="3">
        <f>IF(K12="", IFERROR(VLOOKUP(J12, '1. Roster &amp; Roles'!A:C, 3, FALSE), "Unassigned"), K12)</f>
        <v>0</v>
      </c>
    </row>
    <row r="13" spans="1:12" ht="30" customHeight="1">
      <c r="A13" s="4" t="s">
        <v>55</v>
      </c>
      <c r="B13" s="4" t="s">
        <v>68</v>
      </c>
      <c r="C13" s="8"/>
      <c r="D13" s="11">
        <f>IF(C13&lt;&gt;"", C13, E12)</f>
        <v>0</v>
      </c>
      <c r="E13" s="11">
        <f>D13 + (F13/1440)</f>
        <v>0</v>
      </c>
      <c r="F13" s="4">
        <v>30</v>
      </c>
      <c r="G13" s="4" t="s">
        <v>68</v>
      </c>
      <c r="H13" s="4" t="s">
        <v>69</v>
      </c>
      <c r="I13" s="10" cm="1">
        <f t="array" ref="I13">IFERROR(JOIN(", ", _xlfn._xlws.FILTER('4. Equipment &amp; Shopping'!B:B, '4. Equipment &amp; Shopping'!D:D=G13)), "None")</f>
        <v>0</v>
      </c>
      <c r="J13" s="10" t="s">
        <v>6</v>
      </c>
      <c r="K13" s="4"/>
      <c r="L13" s="4">
        <f>IF(K13="", IFERROR(VLOOKUP(J13, '1. Roster &amp; Roles'!A:C, 3, FALSE), "Unassigned"), K13)</f>
        <v>0</v>
      </c>
    </row>
    <row r="14" spans="1:12" ht="30" customHeight="1">
      <c r="A14" s="3" t="s">
        <v>55</v>
      </c>
      <c r="B14" s="3" t="s">
        <v>70</v>
      </c>
      <c r="C14" s="8"/>
      <c r="D14" s="9">
        <f>IF(C14&lt;&gt;"", C14, E13)</f>
        <v>0</v>
      </c>
      <c r="E14" s="9">
        <f>D14 + (F14/1440)</f>
        <v>0</v>
      </c>
      <c r="F14" s="3">
        <v>60</v>
      </c>
      <c r="G14" s="3" t="s">
        <v>71</v>
      </c>
      <c r="H14" s="3" t="s">
        <v>72</v>
      </c>
      <c r="I14" s="10" cm="1">
        <f t="array" ref="I14">IFERROR(JOIN(", ", _xlfn._xlws.FILTER('4. Equipment &amp; Shopping'!B:B, '4. Equipment &amp; Shopping'!D:D=G14)), "None")</f>
        <v>0</v>
      </c>
      <c r="J14" s="10" t="s">
        <v>16</v>
      </c>
      <c r="K14" s="3"/>
      <c r="L14" s="3">
        <f>IF(K14="", IFERROR(VLOOKUP(J14, '1. Roster &amp; Roles'!A:C, 3, FALSE), "Unassigned"), K14)</f>
        <v>0</v>
      </c>
    </row>
    <row r="15" spans="1:12" ht="30" customHeight="1">
      <c r="A15" s="4" t="s">
        <v>55</v>
      </c>
      <c r="B15" s="4" t="s">
        <v>73</v>
      </c>
      <c r="C15" s="8"/>
      <c r="D15" s="11">
        <f>IF(C15&lt;&gt;"", C15, E14)</f>
        <v>0</v>
      </c>
      <c r="E15" s="11">
        <f>D15 + (F15/1440)</f>
        <v>0</v>
      </c>
      <c r="F15" s="4">
        <v>60</v>
      </c>
      <c r="G15" s="4" t="s">
        <v>74</v>
      </c>
      <c r="H15" s="4" t="s">
        <v>75</v>
      </c>
      <c r="I15" s="10" cm="1">
        <f t="array" ref="I15">IFERROR(JOIN(", ", _xlfn._xlws.FILTER('4. Equipment &amp; Shopping'!B:B, '4. Equipment &amp; Shopping'!D:D=G15)), "None")</f>
        <v>0</v>
      </c>
      <c r="J15" s="10" t="s">
        <v>6</v>
      </c>
      <c r="K15" s="4"/>
      <c r="L15" s="4">
        <f>IF(K15="", IFERROR(VLOOKUP(J15, '1. Roster &amp; Roles'!A:C, 3, FALSE), "Unassigned"), K15)</f>
        <v>0</v>
      </c>
    </row>
    <row r="16" spans="1:12" ht="30" customHeight="1">
      <c r="A16" s="3" t="s">
        <v>55</v>
      </c>
      <c r="B16" s="3" t="s">
        <v>76</v>
      </c>
      <c r="C16" s="8"/>
      <c r="D16" s="9">
        <f>IF(C16&lt;&gt;"", C16, E15)</f>
        <v>0</v>
      </c>
      <c r="E16" s="9">
        <f>D16 + (F16/1440)</f>
        <v>0</v>
      </c>
      <c r="F16" s="3">
        <v>0</v>
      </c>
      <c r="G16" s="3" t="s">
        <v>77</v>
      </c>
      <c r="H16" s="3" t="s">
        <v>78</v>
      </c>
      <c r="I16" s="10" cm="1">
        <f t="array" ref="I16">IFERROR(JOIN(", ", _xlfn._xlws.FILTER('4. Equipment &amp; Shopping'!B:B, '4. Equipment &amp; Shopping'!D:D=G16)), "None")</f>
        <v>0</v>
      </c>
      <c r="J16" s="10" t="s">
        <v>6</v>
      </c>
      <c r="K16" s="3"/>
      <c r="L16" s="3">
        <f>IF(K16="", IFERROR(VLOOKUP(J16, '1. Roster &amp; Roles'!A:C, 3, FALSE), "Unassigned"), K16)</f>
        <v>0</v>
      </c>
    </row>
    <row r="17" spans="1:12" ht="30" customHeight="1">
      <c r="A17" s="4" t="s">
        <v>79</v>
      </c>
      <c r="B17" s="4" t="s">
        <v>80</v>
      </c>
      <c r="C17" s="8"/>
      <c r="D17" s="11">
        <f>IF(C17&lt;&gt;"", C17, E16)</f>
        <v>0</v>
      </c>
      <c r="E17" s="11">
        <f>D17 + (F17/1440)</f>
        <v>0</v>
      </c>
      <c r="F17" s="4">
        <v>45</v>
      </c>
      <c r="G17" s="4" t="s">
        <v>81</v>
      </c>
      <c r="H17" s="4" t="s">
        <v>82</v>
      </c>
      <c r="I17" s="10" cm="1">
        <f t="array" ref="I17">IFERROR(JOIN(", ", _xlfn._xlws.FILTER('4. Equipment &amp; Shopping'!B:B, '4. Equipment &amp; Shopping'!D:D=G17)), "None")</f>
        <v>0</v>
      </c>
      <c r="J17" s="10" t="s">
        <v>11</v>
      </c>
      <c r="K17" s="4"/>
      <c r="L17" s="4">
        <f>IF(K17="", IFERROR(VLOOKUP(J17, '1. Roster &amp; Roles'!A:C, 3, FALSE), "Unassigned"), K17)</f>
        <v>0</v>
      </c>
    </row>
    <row r="18" spans="1:12" ht="30" customHeight="1">
      <c r="A18" s="3" t="s">
        <v>79</v>
      </c>
      <c r="B18" s="3" t="s">
        <v>83</v>
      </c>
      <c r="C18" s="8"/>
      <c r="D18" s="9">
        <f>IF(C18&lt;&gt;"", C18, E17)</f>
        <v>0</v>
      </c>
      <c r="E18" s="9">
        <f>D18 + (F18/1440)</f>
        <v>0</v>
      </c>
      <c r="F18" s="3">
        <v>90</v>
      </c>
      <c r="G18" s="3" t="s">
        <v>84</v>
      </c>
      <c r="H18" s="3" t="s">
        <v>85</v>
      </c>
      <c r="I18" s="10" cm="1">
        <f t="array" ref="I18">IFERROR(JOIN(", ", _xlfn._xlws.FILTER('4. Equipment &amp; Shopping'!B:B, '4. Equipment &amp; Shopping'!D:D=G18)), "None")</f>
        <v>0</v>
      </c>
      <c r="J18" s="10" t="s">
        <v>16</v>
      </c>
      <c r="K18" s="3"/>
      <c r="L18" s="3">
        <f>IF(K18="", IFERROR(VLOOKUP(J18, '1. Roster &amp; Roles'!A:C, 3, FALSE), "Unassigned"), K18)</f>
        <v>0</v>
      </c>
    </row>
    <row r="19" spans="1:12" ht="30" customHeight="1">
      <c r="A19" s="4" t="s">
        <v>79</v>
      </c>
      <c r="B19" s="4" t="s">
        <v>86</v>
      </c>
      <c r="C19" s="8"/>
      <c r="D19" s="11">
        <f>IF(C19&lt;&gt;"", C19, E18)</f>
        <v>0</v>
      </c>
      <c r="E19" s="11">
        <f>D19 + (F19/1440)</f>
        <v>0</v>
      </c>
      <c r="F19" s="4">
        <v>30</v>
      </c>
      <c r="G19" s="4" t="s">
        <v>86</v>
      </c>
      <c r="H19" s="4" t="s">
        <v>87</v>
      </c>
      <c r="I19" s="10" cm="1">
        <f t="array" ref="I19">IFERROR(JOIN(", ", _xlfn._xlws.FILTER('4. Equipment &amp; Shopping'!B:B, '4. Equipment &amp; Shopping'!D:D=G19)), "None")</f>
        <v>0</v>
      </c>
      <c r="J19" s="10" t="s">
        <v>19</v>
      </c>
      <c r="K19" s="4"/>
      <c r="L19" s="4">
        <f>IF(K19="", IFERROR(VLOOKUP(J19, '1. Roster &amp; Roles'!A:C, 3, FALSE), "Unassigned"), K19)</f>
        <v>0</v>
      </c>
    </row>
    <row r="20" spans="1:12" ht="30" customHeight="1">
      <c r="A20" s="3" t="s">
        <v>79</v>
      </c>
      <c r="B20" s="3" t="s">
        <v>88</v>
      </c>
      <c r="C20" s="8"/>
      <c r="D20" s="9">
        <f>IF(C20&lt;&gt;"", C20, E19)</f>
        <v>0</v>
      </c>
      <c r="E20" s="9">
        <f>D20 + (F20/1440)</f>
        <v>0</v>
      </c>
      <c r="F20" s="3">
        <v>15</v>
      </c>
      <c r="G20" s="3" t="s">
        <v>89</v>
      </c>
      <c r="H20" s="3" t="s">
        <v>90</v>
      </c>
      <c r="I20" s="10" cm="1">
        <f t="array" ref="I20">IFERROR(JOIN(", ", _xlfn._xlws.FILTER('4. Equipment &amp; Shopping'!B:B, '4. Equipment &amp; Shopping'!D:D=G20)), "None")</f>
        <v>0</v>
      </c>
      <c r="J20" s="10" t="s">
        <v>6</v>
      </c>
      <c r="K20" s="3"/>
      <c r="L20" s="3">
        <f>IF(K20="", IFERROR(VLOOKUP(J20, '1. Roster &amp; Roles'!A:C, 3, FALSE), "Unassigned"), K20)</f>
        <v>0</v>
      </c>
    </row>
    <row r="21" spans="1:12" ht="30" customHeight="1">
      <c r="A21" s="4" t="s">
        <v>79</v>
      </c>
      <c r="B21" s="4" t="s">
        <v>91</v>
      </c>
      <c r="C21" s="8"/>
      <c r="D21" s="11">
        <f>IF(C21&lt;&gt;"", C21, E20)</f>
        <v>0</v>
      </c>
      <c r="E21" s="11">
        <f>D21 + (F21/1440)</f>
        <v>0</v>
      </c>
      <c r="F21" s="4">
        <v>60</v>
      </c>
      <c r="G21" s="4" t="s">
        <v>91</v>
      </c>
      <c r="H21" s="4" t="s">
        <v>91</v>
      </c>
      <c r="I21" s="10" cm="1">
        <f t="array" ref="I21">IFERROR(JOIN(", ", _xlfn._xlws.FILTER('4. Equipment &amp; Shopping'!B:B, '4. Equipment &amp; Shopping'!D:D=G21)), "None")</f>
        <v>0</v>
      </c>
      <c r="J21" s="10" t="s">
        <v>29</v>
      </c>
      <c r="K21" s="4"/>
      <c r="L21" s="4">
        <f>IF(K21="", IFERROR(VLOOKUP(J21, '1. Roster &amp; Roles'!A:C, 3, FALSE), "Unassigned"), K21)</f>
        <v>0</v>
      </c>
    </row>
    <row r="22" spans="1:12" ht="30" customHeight="1">
      <c r="A22" s="3" t="s">
        <v>79</v>
      </c>
      <c r="B22" s="3" t="s">
        <v>92</v>
      </c>
      <c r="C22" s="8"/>
      <c r="D22" s="9">
        <f>IF(C22&lt;&gt;"", C22, E21)</f>
        <v>0</v>
      </c>
      <c r="E22" s="9">
        <f>D22 + (F22/1440)</f>
        <v>0</v>
      </c>
      <c r="F22" s="3">
        <v>60</v>
      </c>
      <c r="G22" s="3" t="s">
        <v>93</v>
      </c>
      <c r="H22" s="3" t="s">
        <v>94</v>
      </c>
      <c r="I22" s="10" cm="1">
        <f t="array" ref="I22">IFERROR(JOIN(", ", _xlfn._xlws.FILTER('4. Equipment &amp; Shopping'!B:B, '4. Equipment &amp; Shopping'!D:D=G22)), "None")</f>
        <v>0</v>
      </c>
      <c r="J22" s="10" t="s">
        <v>16</v>
      </c>
      <c r="K22" s="3"/>
      <c r="L22" s="3">
        <f>IF(K22="", IFERROR(VLOOKUP(J22, '1. Roster &amp; Roles'!A:C, 3, FALSE), "Unassigned"), K22)</f>
        <v>0</v>
      </c>
    </row>
    <row r="23" spans="1:12" ht="30" customHeight="1">
      <c r="A23" s="4" t="s">
        <v>79</v>
      </c>
      <c r="B23" s="4" t="s">
        <v>95</v>
      </c>
      <c r="C23" s="8"/>
      <c r="D23" s="11">
        <f>IF(C23&lt;&gt;"", C23, E22)</f>
        <v>0</v>
      </c>
      <c r="E23" s="11">
        <f>D23 + (F23/1440)</f>
        <v>0</v>
      </c>
      <c r="F23" s="4">
        <v>15</v>
      </c>
      <c r="G23" s="4" t="s">
        <v>96</v>
      </c>
      <c r="H23" s="4" t="s">
        <v>97</v>
      </c>
      <c r="I23" s="10" cm="1">
        <f t="array" ref="I23">IFERROR(JOIN(", ", _xlfn._xlws.FILTER('4. Equipment &amp; Shopping'!B:B, '4. Equipment &amp; Shopping'!D:D=G23)), "None")</f>
        <v>0</v>
      </c>
      <c r="J23" s="10" t="s">
        <v>6</v>
      </c>
      <c r="K23" s="4"/>
      <c r="L23" s="4">
        <f>IF(K23="", IFERROR(VLOOKUP(J23, '1. Roster &amp; Roles'!A:C, 3, FALSE), "Unassigned"), K23)</f>
        <v>0</v>
      </c>
    </row>
    <row r="24" spans="1:12" ht="30" customHeight="1">
      <c r="A24" s="3" t="s">
        <v>79</v>
      </c>
      <c r="B24" s="3" t="s">
        <v>98</v>
      </c>
      <c r="C24" s="8"/>
      <c r="D24" s="9">
        <f>IF(C24&lt;&gt;"", C24, E23)</f>
        <v>0</v>
      </c>
      <c r="E24" s="9">
        <f>D24 + (F24/1440)</f>
        <v>0</v>
      </c>
      <c r="F24" s="3">
        <v>60</v>
      </c>
      <c r="G24" s="3" t="s">
        <v>98</v>
      </c>
      <c r="H24" s="3" t="s">
        <v>99</v>
      </c>
      <c r="I24" s="10" cm="1">
        <f t="array" ref="I24">IFERROR(JOIN(", ", _xlfn._xlws.FILTER('4. Equipment &amp; Shopping'!B:B, '4. Equipment &amp; Shopping'!D:D=G24)), "None")</f>
        <v>0</v>
      </c>
      <c r="J24" s="10" t="s">
        <v>11</v>
      </c>
      <c r="K24" s="3"/>
      <c r="L24" s="3">
        <f>IF(K24="", IFERROR(VLOOKUP(J24, '1. Roster &amp; Roles'!A:C, 3, FALSE), "Unassigned"), K24)</f>
        <v>0</v>
      </c>
    </row>
    <row r="25" spans="1:12" ht="30" customHeight="1">
      <c r="A25" s="4" t="s">
        <v>79</v>
      </c>
      <c r="B25" s="4" t="s">
        <v>60</v>
      </c>
      <c r="C25" s="8"/>
      <c r="D25" s="11">
        <f>IF(C25&lt;&gt;"", C25, E24)</f>
        <v>0</v>
      </c>
      <c r="E25" s="11">
        <f>D25 + (F25/1440)</f>
        <v>0</v>
      </c>
      <c r="F25" s="4">
        <v>45</v>
      </c>
      <c r="G25" s="4" t="s">
        <v>100</v>
      </c>
      <c r="H25" s="4" t="s">
        <v>101</v>
      </c>
      <c r="I25" s="10" cm="1">
        <f t="array" ref="I25">IFERROR(JOIN(", ", _xlfn._xlws.FILTER('4. Equipment &amp; Shopping'!B:B, '4. Equipment &amp; Shopping'!D:D=G25)), "None")</f>
        <v>0</v>
      </c>
      <c r="J25" s="10" t="s">
        <v>25</v>
      </c>
      <c r="K25" s="4"/>
      <c r="L25" s="4">
        <f>IF(K25="", IFERROR(VLOOKUP(J25, '1. Roster &amp; Roles'!A:C, 3, FALSE), "Unassigned"), K25)</f>
        <v>0</v>
      </c>
    </row>
    <row r="26" spans="1:12" ht="30" customHeight="1">
      <c r="A26" s="3" t="s">
        <v>79</v>
      </c>
      <c r="B26" s="3" t="s">
        <v>102</v>
      </c>
      <c r="C26" s="8"/>
      <c r="D26" s="9">
        <f>IF(C26&lt;&gt;"", C26, E25)</f>
        <v>0</v>
      </c>
      <c r="E26" s="9">
        <f>D26 + (F26/1440)</f>
        <v>0</v>
      </c>
      <c r="F26" s="3">
        <v>0</v>
      </c>
      <c r="G26" s="3" t="s">
        <v>102</v>
      </c>
      <c r="H26" s="3" t="s">
        <v>103</v>
      </c>
      <c r="I26" s="10" cm="1">
        <f t="array" ref="I26">IFERROR(JOIN(", ", _xlfn._xlws.FILTER('4. Equipment &amp; Shopping'!B:B, '4. Equipment &amp; Shopping'!D:D=G26)), "None")</f>
        <v>0</v>
      </c>
      <c r="J26" s="10" t="s">
        <v>22</v>
      </c>
      <c r="K26" s="3"/>
      <c r="L26" s="3">
        <f>IF(K26="", IFERROR(VLOOKUP(J26, '1. Roster &amp; Roles'!A:C, 3, FALSE), "Unassigned"), K26)</f>
        <v>0</v>
      </c>
    </row>
  </sheetData>
  <dataValidations count="19">
    <dataValidation type="list" allowBlank="1" showInputMessage="1" sqref="K8">
      <formula1>'1. Roster &amp; Roles'!$C$5:$C$20</formula1>
    </dataValidation>
    <dataValidation type="list" allowBlank="1" showInputMessage="1" sqref="K9">
      <formula1>'1. Roster &amp; Roles'!$C$5:$C$20</formula1>
    </dataValidation>
    <dataValidation type="list" allowBlank="1" showInputMessage="1" sqref="K10">
      <formula1>'1. Roster &amp; Roles'!$C$5:$C$20</formula1>
    </dataValidation>
    <dataValidation type="list" allowBlank="1" showInputMessage="1" sqref="K11">
      <formula1>'1. Roster &amp; Roles'!$C$5:$C$20</formula1>
    </dataValidation>
    <dataValidation type="list" allowBlank="1" showInputMessage="1" sqref="K12">
      <formula1>'1. Roster &amp; Roles'!$C$5:$C$20</formula1>
    </dataValidation>
    <dataValidation type="list" allowBlank="1" showInputMessage="1" sqref="K13">
      <formula1>'1. Roster &amp; Roles'!$C$5:$C$20</formula1>
    </dataValidation>
    <dataValidation type="list" allowBlank="1" showInputMessage="1" sqref="K14">
      <formula1>'1. Roster &amp; Roles'!$C$5:$C$20</formula1>
    </dataValidation>
    <dataValidation type="list" allowBlank="1" showInputMessage="1" sqref="K15">
      <formula1>'1. Roster &amp; Roles'!$C$5:$C$20</formula1>
    </dataValidation>
    <dataValidation type="list" allowBlank="1" showInputMessage="1" sqref="K16">
      <formula1>'1. Roster &amp; Roles'!$C$5:$C$20</formula1>
    </dataValidation>
    <dataValidation type="list" allowBlank="1" showInputMessage="1" sqref="K17">
      <formula1>'1. Roster &amp; Roles'!$C$5:$C$20</formula1>
    </dataValidation>
    <dataValidation type="list" allowBlank="1" showInputMessage="1" sqref="K18">
      <formula1>'1. Roster &amp; Roles'!$C$5:$C$20</formula1>
    </dataValidation>
    <dataValidation type="list" allowBlank="1" showInputMessage="1" sqref="K19">
      <formula1>'1. Roster &amp; Roles'!$C$5:$C$20</formula1>
    </dataValidation>
    <dataValidation type="list" allowBlank="1" showInputMessage="1" sqref="K20">
      <formula1>'1. Roster &amp; Roles'!$C$5:$C$20</formula1>
    </dataValidation>
    <dataValidation type="list" allowBlank="1" showInputMessage="1" sqref="K21">
      <formula1>'1. Roster &amp; Roles'!$C$5:$C$20</formula1>
    </dataValidation>
    <dataValidation type="list" allowBlank="1" showInputMessage="1" sqref="K22">
      <formula1>'1. Roster &amp; Roles'!$C$5:$C$20</formula1>
    </dataValidation>
    <dataValidation type="list" allowBlank="1" showInputMessage="1" sqref="K23">
      <formula1>'1. Roster &amp; Roles'!$C$5:$C$20</formula1>
    </dataValidation>
    <dataValidation type="list" allowBlank="1" showInputMessage="1" sqref="K24">
      <formula1>'1. Roster &amp; Roles'!$C$5:$C$20</formula1>
    </dataValidation>
    <dataValidation type="list" allowBlank="1" showInputMessage="1" sqref="K25">
      <formula1>'1. Roster &amp; Roles'!$C$5:$C$20</formula1>
    </dataValidation>
    <dataValidation type="list" allowBlank="1" showInputMessage="1" sqref="K26">
      <formula1>'1. Roster &amp; Roles'!$C$5:$C$20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showGridLines="0" workbookViewId="0"/>
  </sheetViews>
  <sheetFormatPr defaultRowHeight="15"/>
  <cols>
    <col min="1" max="1" width="25.7109375" customWidth="1"/>
    <col min="2" max="2" width="50.7109375" customWidth="1"/>
    <col min="3" max="5" width="20.7109375" customWidth="1"/>
    <col min="6" max="6" width="15.7109375" customWidth="1"/>
  </cols>
  <sheetData>
    <row r="1" spans="1:6">
      <c r="A1" s="1" t="s">
        <v>104</v>
      </c>
    </row>
    <row r="2" spans="1:6">
      <c r="A2" s="5" t="s">
        <v>105</v>
      </c>
    </row>
    <row r="5" spans="1:6">
      <c r="A5" s="2" t="s">
        <v>106</v>
      </c>
      <c r="B5" s="2" t="s">
        <v>107</v>
      </c>
      <c r="C5" s="2" t="s">
        <v>52</v>
      </c>
      <c r="D5" s="2" t="s">
        <v>53</v>
      </c>
      <c r="E5" s="2" t="s">
        <v>108</v>
      </c>
      <c r="F5" s="2" t="s">
        <v>109</v>
      </c>
    </row>
    <row r="6" spans="1:6" ht="25" customHeight="1">
      <c r="A6" s="3" t="s">
        <v>110</v>
      </c>
      <c r="B6" s="3" t="s">
        <v>111</v>
      </c>
      <c r="C6" s="10" t="s">
        <v>22</v>
      </c>
      <c r="D6" s="3"/>
      <c r="E6" s="3">
        <f>IF(D6="", IFERROR(VLOOKUP(C6, '1. Roster &amp; Roles'!A:C, 3, FALSE), "Unassigned"), D6)</f>
        <v>0</v>
      </c>
      <c r="F6" s="3" t="s">
        <v>112</v>
      </c>
    </row>
    <row r="7" spans="1:6" ht="25" customHeight="1">
      <c r="A7" s="4" t="s">
        <v>110</v>
      </c>
      <c r="B7" s="4" t="s">
        <v>113</v>
      </c>
      <c r="C7" s="10" t="s">
        <v>6</v>
      </c>
      <c r="D7" s="4"/>
      <c r="E7" s="4">
        <f>IF(D7="", IFERROR(VLOOKUP(C7, '1. Roster &amp; Roles'!A:C, 3, FALSE), "Unassigned"), D7)</f>
        <v>0</v>
      </c>
      <c r="F7" s="4" t="s">
        <v>112</v>
      </c>
    </row>
    <row r="8" spans="1:6" ht="25" customHeight="1">
      <c r="A8" s="3" t="s">
        <v>110</v>
      </c>
      <c r="B8" s="3" t="s">
        <v>114</v>
      </c>
      <c r="C8" s="10" t="s">
        <v>29</v>
      </c>
      <c r="D8" s="3"/>
      <c r="E8" s="3">
        <f>IF(D8="", IFERROR(VLOOKUP(C8, '1. Roster &amp; Roles'!A:C, 3, FALSE), "Unassigned"), D8)</f>
        <v>0</v>
      </c>
      <c r="F8" s="3" t="s">
        <v>112</v>
      </c>
    </row>
    <row r="9" spans="1:6" ht="25" customHeight="1">
      <c r="A9" s="4" t="s">
        <v>110</v>
      </c>
      <c r="B9" s="4" t="s">
        <v>115</v>
      </c>
      <c r="C9" s="10" t="s">
        <v>22</v>
      </c>
      <c r="D9" s="4"/>
      <c r="E9" s="4">
        <f>IF(D9="", IFERROR(VLOOKUP(C9, '1. Roster &amp; Roles'!A:C, 3, FALSE), "Unassigned"), D9)</f>
        <v>0</v>
      </c>
      <c r="F9" s="4" t="s">
        <v>112</v>
      </c>
    </row>
    <row r="10" spans="1:6" ht="25" customHeight="1">
      <c r="A10" s="3" t="s">
        <v>110</v>
      </c>
      <c r="B10" s="3" t="s">
        <v>116</v>
      </c>
      <c r="C10" s="10" t="s">
        <v>11</v>
      </c>
      <c r="D10" s="3"/>
      <c r="E10" s="3">
        <f>IF(D10="", IFERROR(VLOOKUP(C10, '1. Roster &amp; Roles'!A:C, 3, FALSE), "Unassigned"), D10)</f>
        <v>0</v>
      </c>
      <c r="F10" s="3" t="s">
        <v>112</v>
      </c>
    </row>
    <row r="11" spans="1:6" ht="25" customHeight="1">
      <c r="A11" s="4" t="s">
        <v>110</v>
      </c>
      <c r="B11" s="4" t="s">
        <v>117</v>
      </c>
      <c r="C11" s="10" t="s">
        <v>11</v>
      </c>
      <c r="D11" s="4"/>
      <c r="E11" s="4">
        <f>IF(D11="", IFERROR(VLOOKUP(C11, '1. Roster &amp; Roles'!A:C, 3, FALSE), "Unassigned"), D11)</f>
        <v>0</v>
      </c>
      <c r="F11" s="4" t="s">
        <v>112</v>
      </c>
    </row>
    <row r="12" spans="1:6" ht="25" customHeight="1">
      <c r="A12" s="3" t="s">
        <v>110</v>
      </c>
      <c r="B12" s="3" t="s">
        <v>118</v>
      </c>
      <c r="C12" s="10" t="s">
        <v>29</v>
      </c>
      <c r="D12" s="3"/>
      <c r="E12" s="3">
        <f>IF(D12="", IFERROR(VLOOKUP(C12, '1. Roster &amp; Roles'!A:C, 3, FALSE), "Unassigned"), D12)</f>
        <v>0</v>
      </c>
      <c r="F12" s="3" t="s">
        <v>112</v>
      </c>
    </row>
    <row r="13" spans="1:6" ht="25" customHeight="1">
      <c r="A13" s="4" t="s">
        <v>110</v>
      </c>
      <c r="B13" s="4" t="s">
        <v>119</v>
      </c>
      <c r="C13" s="10" t="s">
        <v>16</v>
      </c>
      <c r="D13" s="4"/>
      <c r="E13" s="4">
        <f>IF(D13="", IFERROR(VLOOKUP(C13, '1. Roster &amp; Roles'!A:C, 3, FALSE), "Unassigned"), D13)</f>
        <v>0</v>
      </c>
      <c r="F13" s="4" t="s">
        <v>112</v>
      </c>
    </row>
  </sheetData>
  <dataValidations count="16">
    <dataValidation type="list" allowBlank="1" showInputMessage="1" sqref="D6">
      <formula1>'1. Roster &amp; Roles'!$C$5:$C$20</formula1>
    </dataValidation>
    <dataValidation type="list" allowBlank="1" showInputMessage="1" showErrorMessage="1" sqref="F6">
      <formula1>"Not Started,In Progress,Done"</formula1>
    </dataValidation>
    <dataValidation type="list" allowBlank="1" showInputMessage="1" sqref="D7">
      <formula1>'1. Roster &amp; Roles'!$C$5:$C$20</formula1>
    </dataValidation>
    <dataValidation type="list" allowBlank="1" showInputMessage="1" showErrorMessage="1" sqref="F7">
      <formula1>"Not Started,In Progress,Done"</formula1>
    </dataValidation>
    <dataValidation type="list" allowBlank="1" showInputMessage="1" sqref="D8">
      <formula1>'1. Roster &amp; Roles'!$C$5:$C$20</formula1>
    </dataValidation>
    <dataValidation type="list" allowBlank="1" showInputMessage="1" showErrorMessage="1" sqref="F8">
      <formula1>"Not Started,In Progress,Done"</formula1>
    </dataValidation>
    <dataValidation type="list" allowBlank="1" showInputMessage="1" sqref="D9">
      <formula1>'1. Roster &amp; Roles'!$C$5:$C$20</formula1>
    </dataValidation>
    <dataValidation type="list" allowBlank="1" showInputMessage="1" showErrorMessage="1" sqref="F9">
      <formula1>"Not Started,In Progress,Done"</formula1>
    </dataValidation>
    <dataValidation type="list" allowBlank="1" showInputMessage="1" sqref="D10">
      <formula1>'1. Roster &amp; Roles'!$C$5:$C$20</formula1>
    </dataValidation>
    <dataValidation type="list" allowBlank="1" showInputMessage="1" showErrorMessage="1" sqref="F10">
      <formula1>"Not Started,In Progress,Done"</formula1>
    </dataValidation>
    <dataValidation type="list" allowBlank="1" showInputMessage="1" sqref="D11">
      <formula1>'1. Roster &amp; Roles'!$C$5:$C$20</formula1>
    </dataValidation>
    <dataValidation type="list" allowBlank="1" showInputMessage="1" showErrorMessage="1" sqref="F11">
      <formula1>"Not Started,In Progress,Done"</formula1>
    </dataValidation>
    <dataValidation type="list" allowBlank="1" showInputMessage="1" sqref="D12">
      <formula1>'1. Roster &amp; Roles'!$C$5:$C$20</formula1>
    </dataValidation>
    <dataValidation type="list" allowBlank="1" showInputMessage="1" showErrorMessage="1" sqref="F12">
      <formula1>"Not Started,In Progress,Done"</formula1>
    </dataValidation>
    <dataValidation type="list" allowBlank="1" showInputMessage="1" sqref="D13">
      <formula1>'1. Roster &amp; Roles'!$C$5:$C$20</formula1>
    </dataValidation>
    <dataValidation type="list" allowBlank="1" showInputMessage="1" showErrorMessage="1" sqref="F13">
      <formula1>"Not Started,In Progress,Done"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2"/>
  <sheetViews>
    <sheetView showGridLines="0" workbookViewId="0"/>
  </sheetViews>
  <sheetFormatPr defaultRowHeight="15"/>
  <cols>
    <col min="1" max="2" width="25.7109375" customWidth="1"/>
    <col min="3" max="3" width="10.7109375" customWidth="1"/>
    <col min="4" max="4" width="25.7109375" customWidth="1"/>
    <col min="5" max="7" width="20.7109375" customWidth="1"/>
    <col min="8" max="8" width="15.7109375" customWidth="1"/>
  </cols>
  <sheetData>
    <row r="1" spans="1:8">
      <c r="A1" s="1" t="s">
        <v>120</v>
      </c>
    </row>
    <row r="5" spans="1:8">
      <c r="A5" s="2" t="s">
        <v>106</v>
      </c>
      <c r="B5" s="2" t="s">
        <v>121</v>
      </c>
      <c r="C5" s="2" t="s">
        <v>122</v>
      </c>
      <c r="D5" s="2" t="s">
        <v>123</v>
      </c>
      <c r="E5" s="2" t="s">
        <v>52</v>
      </c>
      <c r="F5" s="2" t="s">
        <v>53</v>
      </c>
      <c r="G5" s="2" t="s">
        <v>108</v>
      </c>
      <c r="H5" s="2" t="s">
        <v>109</v>
      </c>
    </row>
    <row r="6" spans="1:8" ht="22" customHeight="1">
      <c r="A6" s="3" t="s">
        <v>124</v>
      </c>
      <c r="B6" s="3" t="s">
        <v>125</v>
      </c>
      <c r="C6" s="3" t="s">
        <v>126</v>
      </c>
      <c r="D6" s="3"/>
      <c r="E6" s="10" t="s">
        <v>11</v>
      </c>
      <c r="F6" s="3"/>
      <c r="G6" s="3">
        <f>IF(F6="", IFERROR(VLOOKUP(E6, '1. Roster &amp; Roles'!A:C, 3, FALSE), "Unassigned"), F6)</f>
        <v>0</v>
      </c>
      <c r="H6" s="3" t="s">
        <v>127</v>
      </c>
    </row>
    <row r="7" spans="1:8" ht="22" customHeight="1">
      <c r="A7" s="4" t="s">
        <v>124</v>
      </c>
      <c r="B7" s="4" t="s">
        <v>128</v>
      </c>
      <c r="C7" s="4" t="s">
        <v>129</v>
      </c>
      <c r="D7" s="4"/>
      <c r="E7" s="10" t="s">
        <v>11</v>
      </c>
      <c r="F7" s="4"/>
      <c r="G7" s="4">
        <f>IF(F7="", IFERROR(VLOOKUP(E7, '1. Roster &amp; Roles'!A:C, 3, FALSE), "Unassigned"), F7)</f>
        <v>0</v>
      </c>
      <c r="H7" s="4" t="s">
        <v>127</v>
      </c>
    </row>
    <row r="8" spans="1:8" ht="22" customHeight="1">
      <c r="A8" s="3" t="s">
        <v>124</v>
      </c>
      <c r="B8" s="3" t="s">
        <v>130</v>
      </c>
      <c r="C8" s="3" t="s">
        <v>131</v>
      </c>
      <c r="D8" s="3"/>
      <c r="E8" s="10" t="s">
        <v>11</v>
      </c>
      <c r="F8" s="3"/>
      <c r="G8" s="3">
        <f>IF(F8="", IFERROR(VLOOKUP(E8, '1. Roster &amp; Roles'!A:C, 3, FALSE), "Unassigned"), F8)</f>
        <v>0</v>
      </c>
      <c r="H8" s="3" t="s">
        <v>127</v>
      </c>
    </row>
    <row r="9" spans="1:8" ht="22" customHeight="1">
      <c r="A9" s="4" t="s">
        <v>124</v>
      </c>
      <c r="B9" s="4" t="s">
        <v>132</v>
      </c>
      <c r="C9" s="4" t="s">
        <v>131</v>
      </c>
      <c r="D9" s="4"/>
      <c r="E9" s="10" t="s">
        <v>11</v>
      </c>
      <c r="F9" s="4"/>
      <c r="G9" s="4">
        <f>IF(F9="", IFERROR(VLOOKUP(E9, '1. Roster &amp; Roles'!A:C, 3, FALSE), "Unassigned"), F9)</f>
        <v>0</v>
      </c>
      <c r="H9" s="4" t="s">
        <v>127</v>
      </c>
    </row>
    <row r="10" spans="1:8" ht="22" customHeight="1">
      <c r="A10" s="3" t="s">
        <v>124</v>
      </c>
      <c r="B10" s="3" t="s">
        <v>133</v>
      </c>
      <c r="C10" s="3" t="s">
        <v>126</v>
      </c>
      <c r="D10" s="3"/>
      <c r="E10" s="10" t="s">
        <v>11</v>
      </c>
      <c r="F10" s="3"/>
      <c r="G10" s="3">
        <f>IF(F10="", IFERROR(VLOOKUP(E10, '1. Roster &amp; Roles'!A:C, 3, FALSE), "Unassigned"), F10)</f>
        <v>0</v>
      </c>
      <c r="H10" s="3" t="s">
        <v>127</v>
      </c>
    </row>
    <row r="11" spans="1:8" ht="22" customHeight="1">
      <c r="A11" s="4" t="s">
        <v>124</v>
      </c>
      <c r="B11" s="4" t="s">
        <v>134</v>
      </c>
      <c r="C11" s="4" t="s">
        <v>135</v>
      </c>
      <c r="D11" s="4"/>
      <c r="E11" s="10" t="s">
        <v>29</v>
      </c>
      <c r="F11" s="4"/>
      <c r="G11" s="4">
        <f>IF(F11="", IFERROR(VLOOKUP(E11, '1. Roster &amp; Roles'!A:C, 3, FALSE), "Unassigned"), F11)</f>
        <v>0</v>
      </c>
      <c r="H11" s="4" t="s">
        <v>127</v>
      </c>
    </row>
    <row r="12" spans="1:8" ht="22" customHeight="1">
      <c r="A12" s="3" t="s">
        <v>124</v>
      </c>
      <c r="B12" s="3" t="s">
        <v>136</v>
      </c>
      <c r="C12" s="3" t="s">
        <v>131</v>
      </c>
      <c r="D12" s="3"/>
      <c r="E12" s="10" t="s">
        <v>11</v>
      </c>
      <c r="F12" s="3"/>
      <c r="G12" s="3">
        <f>IF(F12="", IFERROR(VLOOKUP(E12, '1. Roster &amp; Roles'!A:C, 3, FALSE), "Unassigned"), F12)</f>
        <v>0</v>
      </c>
      <c r="H12" s="3" t="s">
        <v>127</v>
      </c>
    </row>
    <row r="13" spans="1:8" ht="22" customHeight="1">
      <c r="A13" s="4" t="s">
        <v>124</v>
      </c>
      <c r="B13" s="4" t="s">
        <v>137</v>
      </c>
      <c r="C13" s="4" t="s">
        <v>126</v>
      </c>
      <c r="D13" s="4"/>
      <c r="E13" s="10" t="s">
        <v>11</v>
      </c>
      <c r="F13" s="4"/>
      <c r="G13" s="4">
        <f>IF(F13="", IFERROR(VLOOKUP(E13, '1. Roster &amp; Roles'!A:C, 3, FALSE), "Unassigned"), F13)</f>
        <v>0</v>
      </c>
      <c r="H13" s="4" t="s">
        <v>127</v>
      </c>
    </row>
    <row r="14" spans="1:8" ht="22" customHeight="1">
      <c r="A14" s="3" t="s">
        <v>124</v>
      </c>
      <c r="B14" s="3" t="s">
        <v>138</v>
      </c>
      <c r="C14" s="3" t="s">
        <v>126</v>
      </c>
      <c r="D14" s="3"/>
      <c r="E14" s="10" t="s">
        <v>11</v>
      </c>
      <c r="F14" s="3"/>
      <c r="G14" s="3">
        <f>IF(F14="", IFERROR(VLOOKUP(E14, '1. Roster &amp; Roles'!A:C, 3, FALSE), "Unassigned"), F14)</f>
        <v>0</v>
      </c>
      <c r="H14" s="3" t="s">
        <v>127</v>
      </c>
    </row>
    <row r="15" spans="1:8" ht="22" customHeight="1">
      <c r="A15" s="4" t="s">
        <v>124</v>
      </c>
      <c r="B15" s="4" t="s">
        <v>139</v>
      </c>
      <c r="C15" s="4" t="s">
        <v>129</v>
      </c>
      <c r="D15" s="4"/>
      <c r="E15" s="10" t="s">
        <v>11</v>
      </c>
      <c r="F15" s="4"/>
      <c r="G15" s="4">
        <f>IF(F15="", IFERROR(VLOOKUP(E15, '1. Roster &amp; Roles'!A:C, 3, FALSE), "Unassigned"), F15)</f>
        <v>0</v>
      </c>
      <c r="H15" s="4" t="s">
        <v>127</v>
      </c>
    </row>
    <row r="16" spans="1:8" ht="22" customHeight="1">
      <c r="A16" s="3" t="s">
        <v>124</v>
      </c>
      <c r="B16" s="3" t="s">
        <v>140</v>
      </c>
      <c r="C16" s="3" t="s">
        <v>126</v>
      </c>
      <c r="D16" s="3"/>
      <c r="E16" s="10" t="s">
        <v>11</v>
      </c>
      <c r="F16" s="3"/>
      <c r="G16" s="3">
        <f>IF(F16="", IFERROR(VLOOKUP(E16, '1. Roster &amp; Roles'!A:C, 3, FALSE), "Unassigned"), F16)</f>
        <v>0</v>
      </c>
      <c r="H16" s="3" t="s">
        <v>127</v>
      </c>
    </row>
    <row r="17" spans="1:8" ht="22" customHeight="1">
      <c r="A17" s="4" t="s">
        <v>124</v>
      </c>
      <c r="B17" s="4" t="s">
        <v>141</v>
      </c>
      <c r="C17" s="4" t="s">
        <v>129</v>
      </c>
      <c r="D17" s="4"/>
      <c r="E17" s="10" t="s">
        <v>11</v>
      </c>
      <c r="F17" s="4"/>
      <c r="G17" s="4">
        <f>IF(F17="", IFERROR(VLOOKUP(E17, '1. Roster &amp; Roles'!A:C, 3, FALSE), "Unassigned"), F17)</f>
        <v>0</v>
      </c>
      <c r="H17" s="4" t="s">
        <v>127</v>
      </c>
    </row>
    <row r="18" spans="1:8" ht="22" customHeight="1">
      <c r="A18" s="3" t="s">
        <v>124</v>
      </c>
      <c r="B18" s="3" t="s">
        <v>142</v>
      </c>
      <c r="C18" s="3" t="s">
        <v>126</v>
      </c>
      <c r="D18" s="3"/>
      <c r="E18" s="10" t="s">
        <v>11</v>
      </c>
      <c r="F18" s="3"/>
      <c r="G18" s="3">
        <f>IF(F18="", IFERROR(VLOOKUP(E18, '1. Roster &amp; Roles'!A:C, 3, FALSE), "Unassigned"), F18)</f>
        <v>0</v>
      </c>
      <c r="H18" s="3" t="s">
        <v>127</v>
      </c>
    </row>
    <row r="19" spans="1:8" ht="22" customHeight="1">
      <c r="A19" s="4" t="s">
        <v>124</v>
      </c>
      <c r="B19" s="4" t="s">
        <v>143</v>
      </c>
      <c r="C19" s="4" t="s">
        <v>126</v>
      </c>
      <c r="D19" s="4"/>
      <c r="E19" s="10" t="s">
        <v>11</v>
      </c>
      <c r="F19" s="4"/>
      <c r="G19" s="4">
        <f>IF(F19="", IFERROR(VLOOKUP(E19, '1. Roster &amp; Roles'!A:C, 3, FALSE), "Unassigned"), F19)</f>
        <v>0</v>
      </c>
      <c r="H19" s="4" t="s">
        <v>127</v>
      </c>
    </row>
    <row r="20" spans="1:8" ht="22" customHeight="1">
      <c r="A20" s="3" t="s">
        <v>124</v>
      </c>
      <c r="B20" s="3" t="s">
        <v>144</v>
      </c>
      <c r="C20" s="3" t="s">
        <v>126</v>
      </c>
      <c r="D20" s="3"/>
      <c r="E20" s="10" t="s">
        <v>29</v>
      </c>
      <c r="F20" s="3"/>
      <c r="G20" s="3">
        <f>IF(F20="", IFERROR(VLOOKUP(E20, '1. Roster &amp; Roles'!A:C, 3, FALSE), "Unassigned"), F20)</f>
        <v>0</v>
      </c>
      <c r="H20" s="3" t="s">
        <v>127</v>
      </c>
    </row>
    <row r="21" spans="1:8" ht="22" customHeight="1">
      <c r="A21" s="4" t="s">
        <v>124</v>
      </c>
      <c r="B21" s="4" t="s">
        <v>145</v>
      </c>
      <c r="C21" s="4" t="s">
        <v>126</v>
      </c>
      <c r="D21" s="4"/>
      <c r="E21" s="10" t="s">
        <v>11</v>
      </c>
      <c r="F21" s="4"/>
      <c r="G21" s="4">
        <f>IF(F21="", IFERROR(VLOOKUP(E21, '1. Roster &amp; Roles'!A:C, 3, FALSE), "Unassigned"), F21)</f>
        <v>0</v>
      </c>
      <c r="H21" s="4" t="s">
        <v>127</v>
      </c>
    </row>
    <row r="22" spans="1:8" ht="22" customHeight="1">
      <c r="A22" s="3" t="s">
        <v>124</v>
      </c>
      <c r="B22" s="3" t="s">
        <v>146</v>
      </c>
      <c r="C22" s="3" t="s">
        <v>126</v>
      </c>
      <c r="D22" s="3"/>
      <c r="E22" s="10" t="s">
        <v>6</v>
      </c>
      <c r="F22" s="3"/>
      <c r="G22" s="3">
        <f>IF(F22="", IFERROR(VLOOKUP(E22, '1. Roster &amp; Roles'!A:C, 3, FALSE), "Unassigned"), F22)</f>
        <v>0</v>
      </c>
      <c r="H22" s="3" t="s">
        <v>127</v>
      </c>
    </row>
    <row r="23" spans="1:8" ht="22" customHeight="1">
      <c r="A23" s="4" t="s">
        <v>124</v>
      </c>
      <c r="B23" s="4" t="s">
        <v>147</v>
      </c>
      <c r="C23" s="4" t="s">
        <v>135</v>
      </c>
      <c r="D23" s="4"/>
      <c r="E23" s="10" t="s">
        <v>29</v>
      </c>
      <c r="F23" s="4"/>
      <c r="G23" s="4">
        <f>IF(F23="", IFERROR(VLOOKUP(E23, '1. Roster &amp; Roles'!A:C, 3, FALSE), "Unassigned"), F23)</f>
        <v>0</v>
      </c>
      <c r="H23" s="4" t="s">
        <v>127</v>
      </c>
    </row>
    <row r="24" spans="1:8" ht="22" customHeight="1">
      <c r="A24" s="3" t="s">
        <v>124</v>
      </c>
      <c r="B24" s="3" t="s">
        <v>148</v>
      </c>
      <c r="C24" s="3" t="s">
        <v>126</v>
      </c>
      <c r="D24" s="3"/>
      <c r="E24" s="10" t="s">
        <v>29</v>
      </c>
      <c r="F24" s="3"/>
      <c r="G24" s="3">
        <f>IF(F24="", IFERROR(VLOOKUP(E24, '1. Roster &amp; Roles'!A:C, 3, FALSE), "Unassigned"), F24)</f>
        <v>0</v>
      </c>
      <c r="H24" s="3" t="s">
        <v>127</v>
      </c>
    </row>
    <row r="25" spans="1:8" ht="22" customHeight="1">
      <c r="A25" s="4" t="s">
        <v>124</v>
      </c>
      <c r="B25" s="4" t="s">
        <v>149</v>
      </c>
      <c r="C25" s="4" t="s">
        <v>126</v>
      </c>
      <c r="D25" s="4"/>
      <c r="E25" s="10" t="s">
        <v>11</v>
      </c>
      <c r="F25" s="4"/>
      <c r="G25" s="4">
        <f>IF(F25="", IFERROR(VLOOKUP(E25, '1. Roster &amp; Roles'!A:C, 3, FALSE), "Unassigned"), F25)</f>
        <v>0</v>
      </c>
      <c r="H25" s="4" t="s">
        <v>127</v>
      </c>
    </row>
    <row r="26" spans="1:8" ht="22" customHeight="1">
      <c r="A26" s="3" t="s">
        <v>124</v>
      </c>
      <c r="B26" s="3" t="s">
        <v>150</v>
      </c>
      <c r="C26" s="3" t="s">
        <v>126</v>
      </c>
      <c r="D26" s="3"/>
      <c r="E26" s="10" t="s">
        <v>11</v>
      </c>
      <c r="F26" s="3"/>
      <c r="G26" s="3">
        <f>IF(F26="", IFERROR(VLOOKUP(E26, '1. Roster &amp; Roles'!A:C, 3, FALSE), "Unassigned"), F26)</f>
        <v>0</v>
      </c>
      <c r="H26" s="3" t="s">
        <v>127</v>
      </c>
    </row>
    <row r="27" spans="1:8" ht="22" customHeight="1">
      <c r="A27" s="4" t="s">
        <v>124</v>
      </c>
      <c r="B27" s="4" t="s">
        <v>151</v>
      </c>
      <c r="C27" s="4" t="s">
        <v>126</v>
      </c>
      <c r="D27" s="4"/>
      <c r="E27" s="10" t="s">
        <v>11</v>
      </c>
      <c r="F27" s="4"/>
      <c r="G27" s="4">
        <f>IF(F27="", IFERROR(VLOOKUP(E27, '1. Roster &amp; Roles'!A:C, 3, FALSE), "Unassigned"), F27)</f>
        <v>0</v>
      </c>
      <c r="H27" s="4" t="s">
        <v>127</v>
      </c>
    </row>
    <row r="28" spans="1:8" ht="22" customHeight="1">
      <c r="A28" s="3" t="s">
        <v>124</v>
      </c>
      <c r="B28" s="3" t="s">
        <v>152</v>
      </c>
      <c r="C28" s="3" t="s">
        <v>153</v>
      </c>
      <c r="D28" s="3"/>
      <c r="E28" s="10" t="s">
        <v>11</v>
      </c>
      <c r="F28" s="3"/>
      <c r="G28" s="3">
        <f>IF(F28="", IFERROR(VLOOKUP(E28, '1. Roster &amp; Roles'!A:C, 3, FALSE), "Unassigned"), F28)</f>
        <v>0</v>
      </c>
      <c r="H28" s="3" t="s">
        <v>127</v>
      </c>
    </row>
    <row r="29" spans="1:8" ht="22" customHeight="1">
      <c r="A29" s="4" t="s">
        <v>124</v>
      </c>
      <c r="B29" s="4" t="s">
        <v>154</v>
      </c>
      <c r="C29" s="4" t="s">
        <v>126</v>
      </c>
      <c r="D29" s="4"/>
      <c r="E29" s="10" t="s">
        <v>11</v>
      </c>
      <c r="F29" s="4"/>
      <c r="G29" s="4">
        <f>IF(F29="", IFERROR(VLOOKUP(E29, '1. Roster &amp; Roles'!A:C, 3, FALSE), "Unassigned"), F29)</f>
        <v>0</v>
      </c>
      <c r="H29" s="4" t="s">
        <v>127</v>
      </c>
    </row>
    <row r="30" spans="1:8" ht="22" customHeight="1">
      <c r="A30" s="3" t="s">
        <v>124</v>
      </c>
      <c r="B30" s="3" t="s">
        <v>155</v>
      </c>
      <c r="C30" s="3" t="s">
        <v>126</v>
      </c>
      <c r="D30" s="3"/>
      <c r="E30" s="10" t="s">
        <v>11</v>
      </c>
      <c r="F30" s="3"/>
      <c r="G30" s="3">
        <f>IF(F30="", IFERROR(VLOOKUP(E30, '1. Roster &amp; Roles'!A:C, 3, FALSE), "Unassigned"), F30)</f>
        <v>0</v>
      </c>
      <c r="H30" s="3" t="s">
        <v>127</v>
      </c>
    </row>
    <row r="31" spans="1:8" ht="22" customHeight="1">
      <c r="A31" s="4" t="s">
        <v>124</v>
      </c>
      <c r="B31" s="4" t="s">
        <v>156</v>
      </c>
      <c r="C31" s="4" t="s">
        <v>126</v>
      </c>
      <c r="D31" s="4" t="s">
        <v>84</v>
      </c>
      <c r="E31" s="10" t="s">
        <v>16</v>
      </c>
      <c r="F31" s="4"/>
      <c r="G31" s="4">
        <f>IF(F31="", IFERROR(VLOOKUP(E31, '1. Roster &amp; Roles'!A:C, 3, FALSE), "Unassigned"), F31)</f>
        <v>0</v>
      </c>
      <c r="H31" s="4" t="s">
        <v>127</v>
      </c>
    </row>
    <row r="32" spans="1:8" ht="22" customHeight="1">
      <c r="A32" s="3" t="s">
        <v>124</v>
      </c>
      <c r="B32" s="3" t="s">
        <v>157</v>
      </c>
      <c r="C32" s="3" t="s">
        <v>126</v>
      </c>
      <c r="D32" s="3" t="s">
        <v>84</v>
      </c>
      <c r="E32" s="10" t="s">
        <v>11</v>
      </c>
      <c r="F32" s="3"/>
      <c r="G32" s="3">
        <f>IF(F32="", IFERROR(VLOOKUP(E32, '1. Roster &amp; Roles'!A:C, 3, FALSE), "Unassigned"), F32)</f>
        <v>0</v>
      </c>
      <c r="H32" s="3" t="s">
        <v>127</v>
      </c>
    </row>
    <row r="33" spans="1:8" ht="22" customHeight="1">
      <c r="A33" s="4" t="s">
        <v>124</v>
      </c>
      <c r="B33" s="4" t="s">
        <v>158</v>
      </c>
      <c r="C33" s="4" t="s">
        <v>126</v>
      </c>
      <c r="D33" s="4" t="s">
        <v>84</v>
      </c>
      <c r="E33" s="10" t="s">
        <v>11</v>
      </c>
      <c r="F33" s="4"/>
      <c r="G33" s="4">
        <f>IF(F33="", IFERROR(VLOOKUP(E33, '1. Roster &amp; Roles'!A:C, 3, FALSE), "Unassigned"), F33)</f>
        <v>0</v>
      </c>
      <c r="H33" s="4" t="s">
        <v>127</v>
      </c>
    </row>
    <row r="34" spans="1:8" ht="22" customHeight="1">
      <c r="A34" s="3" t="s">
        <v>159</v>
      </c>
      <c r="B34" s="3" t="s">
        <v>160</v>
      </c>
      <c r="C34" s="3" t="s">
        <v>126</v>
      </c>
      <c r="D34" s="3" t="s">
        <v>84</v>
      </c>
      <c r="E34" s="10" t="s">
        <v>16</v>
      </c>
      <c r="F34" s="3"/>
      <c r="G34" s="3">
        <f>IF(F34="", IFERROR(VLOOKUP(E34, '1. Roster &amp; Roles'!A:C, 3, FALSE), "Unassigned"), F34)</f>
        <v>0</v>
      </c>
      <c r="H34" s="3" t="s">
        <v>127</v>
      </c>
    </row>
    <row r="35" spans="1:8" ht="22" customHeight="1">
      <c r="A35" s="4" t="s">
        <v>159</v>
      </c>
      <c r="B35" s="4" t="s">
        <v>161</v>
      </c>
      <c r="C35" s="4" t="s">
        <v>162</v>
      </c>
      <c r="D35" s="4" t="s">
        <v>71</v>
      </c>
      <c r="E35" s="10" t="s">
        <v>16</v>
      </c>
      <c r="F35" s="4"/>
      <c r="G35" s="4">
        <f>IF(F35="", IFERROR(VLOOKUP(E35, '1. Roster &amp; Roles'!A:C, 3, FALSE), "Unassigned"), F35)</f>
        <v>0</v>
      </c>
      <c r="H35" s="4" t="s">
        <v>127</v>
      </c>
    </row>
    <row r="36" spans="1:8" ht="22" customHeight="1">
      <c r="A36" s="3" t="s">
        <v>159</v>
      </c>
      <c r="B36" s="3" t="s">
        <v>163</v>
      </c>
      <c r="C36" s="3" t="s">
        <v>164</v>
      </c>
      <c r="D36" s="3" t="s">
        <v>71</v>
      </c>
      <c r="E36" s="10" t="s">
        <v>11</v>
      </c>
      <c r="F36" s="3"/>
      <c r="G36" s="3">
        <f>IF(F36="", IFERROR(VLOOKUP(E36, '1. Roster &amp; Roles'!A:C, 3, FALSE), "Unassigned"), F36)</f>
        <v>0</v>
      </c>
      <c r="H36" s="3" t="s">
        <v>127</v>
      </c>
    </row>
    <row r="37" spans="1:8" ht="22" customHeight="1">
      <c r="A37" s="4" t="s">
        <v>159</v>
      </c>
      <c r="B37" s="4" t="s">
        <v>165</v>
      </c>
      <c r="C37" s="4" t="s">
        <v>126</v>
      </c>
      <c r="D37" s="4" t="s">
        <v>100</v>
      </c>
      <c r="E37" s="10" t="s">
        <v>25</v>
      </c>
      <c r="F37" s="4"/>
      <c r="G37" s="4">
        <f>IF(F37="", IFERROR(VLOOKUP(E37, '1. Roster &amp; Roles'!A:C, 3, FALSE), "Unassigned"), F37)</f>
        <v>0</v>
      </c>
      <c r="H37" s="4" t="s">
        <v>127</v>
      </c>
    </row>
    <row r="38" spans="1:8" ht="22" customHeight="1">
      <c r="A38" s="3" t="s">
        <v>159</v>
      </c>
      <c r="B38" s="3" t="s">
        <v>166</v>
      </c>
      <c r="C38" s="3" t="s">
        <v>167</v>
      </c>
      <c r="D38" s="3" t="s">
        <v>86</v>
      </c>
      <c r="E38" s="10" t="s">
        <v>19</v>
      </c>
      <c r="F38" s="3"/>
      <c r="G38" s="3">
        <f>IF(F38="", IFERROR(VLOOKUP(E38, '1. Roster &amp; Roles'!A:C, 3, FALSE), "Unassigned"), F38)</f>
        <v>0</v>
      </c>
      <c r="H38" s="3" t="s">
        <v>127</v>
      </c>
    </row>
    <row r="39" spans="1:8" ht="22" customHeight="1">
      <c r="A39" s="4" t="s">
        <v>159</v>
      </c>
      <c r="B39" s="4" t="s">
        <v>168</v>
      </c>
      <c r="C39" s="4" t="s">
        <v>164</v>
      </c>
      <c r="D39" s="4" t="s">
        <v>61</v>
      </c>
      <c r="E39" s="10" t="s">
        <v>25</v>
      </c>
      <c r="F39" s="4"/>
      <c r="G39" s="4">
        <f>IF(F39="", IFERROR(VLOOKUP(E39, '1. Roster &amp; Roles'!A:C, 3, FALSE), "Unassigned"), F39)</f>
        <v>0</v>
      </c>
      <c r="H39" s="4" t="s">
        <v>127</v>
      </c>
    </row>
    <row r="40" spans="1:8" ht="22" customHeight="1">
      <c r="A40" s="3" t="s">
        <v>159</v>
      </c>
      <c r="B40" s="3" t="s">
        <v>169</v>
      </c>
      <c r="C40" s="3" t="s">
        <v>126</v>
      </c>
      <c r="D40" s="3" t="s">
        <v>61</v>
      </c>
      <c r="E40" s="10" t="s">
        <v>25</v>
      </c>
      <c r="F40" s="3"/>
      <c r="G40" s="3">
        <f>IF(F40="", IFERROR(VLOOKUP(E40, '1. Roster &amp; Roles'!A:C, 3, FALSE), "Unassigned"), F40)</f>
        <v>0</v>
      </c>
      <c r="H40" s="3" t="s">
        <v>127</v>
      </c>
    </row>
    <row r="41" spans="1:8" ht="22" customHeight="1">
      <c r="A41" s="4" t="s">
        <v>159</v>
      </c>
      <c r="B41" s="4" t="s">
        <v>170</v>
      </c>
      <c r="C41" s="4" t="s">
        <v>171</v>
      </c>
      <c r="D41" s="4" t="s">
        <v>64</v>
      </c>
      <c r="E41" s="10" t="s">
        <v>11</v>
      </c>
      <c r="F41" s="4"/>
      <c r="G41" s="4">
        <f>IF(F41="", IFERROR(VLOOKUP(E41, '1. Roster &amp; Roles'!A:C, 3, FALSE), "Unassigned"), F41)</f>
        <v>0</v>
      </c>
      <c r="H41" s="4" t="s">
        <v>127</v>
      </c>
    </row>
    <row r="42" spans="1:8" ht="22" customHeight="1">
      <c r="A42" s="3" t="s">
        <v>159</v>
      </c>
      <c r="B42" s="3" t="s">
        <v>172</v>
      </c>
      <c r="C42" s="3" t="s">
        <v>164</v>
      </c>
      <c r="D42" s="3" t="s">
        <v>64</v>
      </c>
      <c r="E42" s="10" t="s">
        <v>11</v>
      </c>
      <c r="F42" s="3"/>
      <c r="G42" s="3">
        <f>IF(F42="", IFERROR(VLOOKUP(E42, '1. Roster &amp; Roles'!A:C, 3, FALSE), "Unassigned"), F42)</f>
        <v>0</v>
      </c>
      <c r="H42" s="3" t="s">
        <v>127</v>
      </c>
    </row>
    <row r="43" spans="1:8" ht="22" customHeight="1">
      <c r="A43" s="4" t="s">
        <v>159</v>
      </c>
      <c r="B43" s="4" t="s">
        <v>173</v>
      </c>
      <c r="C43" s="4" t="s">
        <v>164</v>
      </c>
      <c r="D43" s="4" t="s">
        <v>64</v>
      </c>
      <c r="E43" s="10" t="s">
        <v>11</v>
      </c>
      <c r="F43" s="4"/>
      <c r="G43" s="4">
        <f>IF(F43="", IFERROR(VLOOKUP(E43, '1. Roster &amp; Roles'!A:C, 3, FALSE), "Unassigned"), F43)</f>
        <v>0</v>
      </c>
      <c r="H43" s="4" t="s">
        <v>127</v>
      </c>
    </row>
    <row r="44" spans="1:8" ht="22" customHeight="1">
      <c r="A44" s="3" t="s">
        <v>159</v>
      </c>
      <c r="B44" s="3" t="s">
        <v>174</v>
      </c>
      <c r="C44" s="3" t="s">
        <v>175</v>
      </c>
      <c r="D44" s="3" t="s">
        <v>64</v>
      </c>
      <c r="E44" s="10" t="s">
        <v>11</v>
      </c>
      <c r="F44" s="3"/>
      <c r="G44" s="3">
        <f>IF(F44="", IFERROR(VLOOKUP(E44, '1. Roster &amp; Roles'!A:C, 3, FALSE), "Unassigned"), F44)</f>
        <v>0</v>
      </c>
      <c r="H44" s="3" t="s">
        <v>127</v>
      </c>
    </row>
    <row r="45" spans="1:8" ht="22" customHeight="1">
      <c r="A45" s="4" t="s">
        <v>159</v>
      </c>
      <c r="B45" s="4" t="s">
        <v>176</v>
      </c>
      <c r="C45" s="4" t="s">
        <v>175</v>
      </c>
      <c r="D45" s="4" t="s">
        <v>64</v>
      </c>
      <c r="E45" s="10" t="s">
        <v>11</v>
      </c>
      <c r="F45" s="4"/>
      <c r="G45" s="4">
        <f>IF(F45="", IFERROR(VLOOKUP(E45, '1. Roster &amp; Roles'!A:C, 3, FALSE), "Unassigned"), F45)</f>
        <v>0</v>
      </c>
      <c r="H45" s="4" t="s">
        <v>127</v>
      </c>
    </row>
    <row r="46" spans="1:8" ht="22" customHeight="1">
      <c r="A46" s="3" t="s">
        <v>177</v>
      </c>
      <c r="B46" s="3" t="s">
        <v>178</v>
      </c>
      <c r="C46" s="3" t="s">
        <v>179</v>
      </c>
      <c r="D46" s="3" t="s">
        <v>71</v>
      </c>
      <c r="E46" s="10" t="s">
        <v>29</v>
      </c>
      <c r="F46" s="3"/>
      <c r="G46" s="3">
        <f>IF(F46="", IFERROR(VLOOKUP(E46, '1. Roster &amp; Roles'!A:C, 3, FALSE), "Unassigned"), F46)</f>
        <v>0</v>
      </c>
      <c r="H46" s="3" t="s">
        <v>127</v>
      </c>
    </row>
    <row r="47" spans="1:8" ht="22" customHeight="1">
      <c r="A47" s="4" t="s">
        <v>177</v>
      </c>
      <c r="B47" s="4" t="s">
        <v>180</v>
      </c>
      <c r="C47" s="4" t="s">
        <v>181</v>
      </c>
      <c r="D47" s="4" t="s">
        <v>81</v>
      </c>
      <c r="E47" s="10" t="s">
        <v>29</v>
      </c>
      <c r="F47" s="4"/>
      <c r="G47" s="4">
        <f>IF(F47="", IFERROR(VLOOKUP(E47, '1. Roster &amp; Roles'!A:C, 3, FALSE), "Unassigned"), F47)</f>
        <v>0</v>
      </c>
      <c r="H47" s="4" t="s">
        <v>127</v>
      </c>
    </row>
    <row r="48" spans="1:8" ht="22" customHeight="1">
      <c r="A48" s="3" t="s">
        <v>177</v>
      </c>
      <c r="B48" s="3" t="s">
        <v>182</v>
      </c>
      <c r="C48" s="3" t="s">
        <v>183</v>
      </c>
      <c r="D48" s="3" t="s">
        <v>81</v>
      </c>
      <c r="E48" s="10" t="s">
        <v>29</v>
      </c>
      <c r="F48" s="3"/>
      <c r="G48" s="3">
        <f>IF(F48="", IFERROR(VLOOKUP(E48, '1. Roster &amp; Roles'!A:C, 3, FALSE), "Unassigned"), F48)</f>
        <v>0</v>
      </c>
      <c r="H48" s="3" t="s">
        <v>127</v>
      </c>
    </row>
    <row r="49" spans="1:8" ht="22" customHeight="1">
      <c r="A49" s="4" t="s">
        <v>177</v>
      </c>
      <c r="B49" s="4" t="s">
        <v>184</v>
      </c>
      <c r="C49" s="4" t="s">
        <v>185</v>
      </c>
      <c r="D49" s="4"/>
      <c r="E49" s="10" t="s">
        <v>29</v>
      </c>
      <c r="F49" s="4"/>
      <c r="G49" s="4">
        <f>IF(F49="", IFERROR(VLOOKUP(E49, '1. Roster &amp; Roles'!A:C, 3, FALSE), "Unassigned"), F49)</f>
        <v>0</v>
      </c>
      <c r="H49" s="4" t="s">
        <v>127</v>
      </c>
    </row>
    <row r="50" spans="1:8" ht="22" customHeight="1">
      <c r="A50" s="3" t="s">
        <v>177</v>
      </c>
      <c r="B50" s="3" t="s">
        <v>186</v>
      </c>
      <c r="C50" s="3" t="s">
        <v>187</v>
      </c>
      <c r="D50" s="3"/>
      <c r="E50" s="10" t="s">
        <v>29</v>
      </c>
      <c r="F50" s="3"/>
      <c r="G50" s="3">
        <f>IF(F50="", IFERROR(VLOOKUP(E50, '1. Roster &amp; Roles'!A:C, 3, FALSE), "Unassigned"), F50)</f>
        <v>0</v>
      </c>
      <c r="H50" s="3" t="s">
        <v>127</v>
      </c>
    </row>
    <row r="51" spans="1:8" ht="22" customHeight="1">
      <c r="A51" s="4" t="s">
        <v>177</v>
      </c>
      <c r="B51" s="4" t="s">
        <v>188</v>
      </c>
      <c r="C51" s="4" t="s">
        <v>189</v>
      </c>
      <c r="D51" s="4"/>
      <c r="E51" s="10" t="s">
        <v>29</v>
      </c>
      <c r="F51" s="4"/>
      <c r="G51" s="4">
        <f>IF(F51="", IFERROR(VLOOKUP(E51, '1. Roster &amp; Roles'!A:C, 3, FALSE), "Unassigned"), F51)</f>
        <v>0</v>
      </c>
      <c r="H51" s="4" t="s">
        <v>127</v>
      </c>
    </row>
    <row r="52" spans="1:8" ht="22" customHeight="1">
      <c r="A52" s="3" t="s">
        <v>177</v>
      </c>
      <c r="B52" s="3" t="s">
        <v>190</v>
      </c>
      <c r="C52" s="3" t="s">
        <v>191</v>
      </c>
      <c r="D52" s="3" t="s">
        <v>71</v>
      </c>
      <c r="E52" s="10" t="s">
        <v>29</v>
      </c>
      <c r="F52" s="3"/>
      <c r="G52" s="3">
        <f>IF(F52="", IFERROR(VLOOKUP(E52, '1. Roster &amp; Roles'!A:C, 3, FALSE), "Unassigned"), F52)</f>
        <v>0</v>
      </c>
      <c r="H52" s="3" t="s">
        <v>127</v>
      </c>
    </row>
    <row r="53" spans="1:8" ht="22" customHeight="1">
      <c r="A53" s="4" t="s">
        <v>177</v>
      </c>
      <c r="B53" s="4" t="s">
        <v>192</v>
      </c>
      <c r="C53" s="4" t="s">
        <v>193</v>
      </c>
      <c r="D53" s="4" t="s">
        <v>71</v>
      </c>
      <c r="E53" s="10" t="s">
        <v>29</v>
      </c>
      <c r="F53" s="4"/>
      <c r="G53" s="4">
        <f>IF(F53="", IFERROR(VLOOKUP(E53, '1. Roster &amp; Roles'!A:C, 3, FALSE), "Unassigned"), F53)</f>
        <v>0</v>
      </c>
      <c r="H53" s="4" t="s">
        <v>127</v>
      </c>
    </row>
    <row r="54" spans="1:8" ht="22" customHeight="1">
      <c r="A54" s="3" t="s">
        <v>177</v>
      </c>
      <c r="B54" s="3" t="s">
        <v>194</v>
      </c>
      <c r="C54" s="3" t="s">
        <v>187</v>
      </c>
      <c r="D54" s="3"/>
      <c r="E54" s="10" t="s">
        <v>29</v>
      </c>
      <c r="F54" s="3"/>
      <c r="G54" s="3">
        <f>IF(F54="", IFERROR(VLOOKUP(E54, '1. Roster &amp; Roles'!A:C, 3, FALSE), "Unassigned"), F54)</f>
        <v>0</v>
      </c>
      <c r="H54" s="3" t="s">
        <v>127</v>
      </c>
    </row>
    <row r="55" spans="1:8" ht="22" customHeight="1">
      <c r="A55" s="4" t="s">
        <v>177</v>
      </c>
      <c r="B55" s="4" t="s">
        <v>195</v>
      </c>
      <c r="C55" s="4" t="s">
        <v>196</v>
      </c>
      <c r="D55" s="4"/>
      <c r="E55" s="10" t="s">
        <v>29</v>
      </c>
      <c r="F55" s="4"/>
      <c r="G55" s="4">
        <f>IF(F55="", IFERROR(VLOOKUP(E55, '1. Roster &amp; Roles'!A:C, 3, FALSE), "Unassigned"), F55)</f>
        <v>0</v>
      </c>
      <c r="H55" s="4" t="s">
        <v>127</v>
      </c>
    </row>
    <row r="56" spans="1:8" ht="22" customHeight="1">
      <c r="A56" s="3" t="s">
        <v>177</v>
      </c>
      <c r="B56" s="3" t="s">
        <v>197</v>
      </c>
      <c r="C56" s="3" t="s">
        <v>196</v>
      </c>
      <c r="D56" s="3"/>
      <c r="E56" s="10" t="s">
        <v>29</v>
      </c>
      <c r="F56" s="3"/>
      <c r="G56" s="3">
        <f>IF(F56="", IFERROR(VLOOKUP(E56, '1. Roster &amp; Roles'!A:C, 3, FALSE), "Unassigned"), F56)</f>
        <v>0</v>
      </c>
      <c r="H56" s="3" t="s">
        <v>127</v>
      </c>
    </row>
    <row r="57" spans="1:8" ht="22" customHeight="1">
      <c r="A57" s="4" t="s">
        <v>177</v>
      </c>
      <c r="B57" s="4" t="s">
        <v>198</v>
      </c>
      <c r="C57" s="4" t="s">
        <v>199</v>
      </c>
      <c r="D57" s="4"/>
      <c r="E57" s="10" t="s">
        <v>29</v>
      </c>
      <c r="F57" s="4"/>
      <c r="G57" s="4">
        <f>IF(F57="", IFERROR(VLOOKUP(E57, '1. Roster &amp; Roles'!A:C, 3, FALSE), "Unassigned"), F57)</f>
        <v>0</v>
      </c>
      <c r="H57" s="4" t="s">
        <v>127</v>
      </c>
    </row>
    <row r="58" spans="1:8" ht="22" customHeight="1">
      <c r="A58" s="3" t="s">
        <v>177</v>
      </c>
      <c r="B58" s="3" t="s">
        <v>200</v>
      </c>
      <c r="C58" s="3" t="s">
        <v>201</v>
      </c>
      <c r="D58" s="3"/>
      <c r="E58" s="10" t="s">
        <v>29</v>
      </c>
      <c r="F58" s="3"/>
      <c r="G58" s="3">
        <f>IF(F58="", IFERROR(VLOOKUP(E58, '1. Roster &amp; Roles'!A:C, 3, FALSE), "Unassigned"), F58)</f>
        <v>0</v>
      </c>
      <c r="H58" s="3" t="s">
        <v>127</v>
      </c>
    </row>
    <row r="59" spans="1:8" ht="22" customHeight="1">
      <c r="A59" s="4" t="s">
        <v>177</v>
      </c>
      <c r="B59" s="4" t="s">
        <v>202</v>
      </c>
      <c r="C59" s="4" t="s">
        <v>203</v>
      </c>
      <c r="D59" s="4"/>
      <c r="E59" s="10" t="s">
        <v>29</v>
      </c>
      <c r="F59" s="4"/>
      <c r="G59" s="4">
        <f>IF(F59="", IFERROR(VLOOKUP(E59, '1. Roster &amp; Roles'!A:C, 3, FALSE), "Unassigned"), F59)</f>
        <v>0</v>
      </c>
      <c r="H59" s="4" t="s">
        <v>127</v>
      </c>
    </row>
    <row r="60" spans="1:8" ht="22" customHeight="1">
      <c r="A60" s="3" t="s">
        <v>177</v>
      </c>
      <c r="B60" s="3" t="s">
        <v>204</v>
      </c>
      <c r="C60" s="3" t="s">
        <v>199</v>
      </c>
      <c r="D60" s="3"/>
      <c r="E60" s="10" t="s">
        <v>29</v>
      </c>
      <c r="F60" s="3"/>
      <c r="G60" s="3">
        <f>IF(F60="", IFERROR(VLOOKUP(E60, '1. Roster &amp; Roles'!A:C, 3, FALSE), "Unassigned"), F60)</f>
        <v>0</v>
      </c>
      <c r="H60" s="3" t="s">
        <v>127</v>
      </c>
    </row>
    <row r="61" spans="1:8" ht="22" customHeight="1">
      <c r="A61" s="4" t="s">
        <v>177</v>
      </c>
      <c r="B61" s="4" t="s">
        <v>205</v>
      </c>
      <c r="C61" s="4" t="s">
        <v>206</v>
      </c>
      <c r="D61" s="4" t="s">
        <v>86</v>
      </c>
      <c r="E61" s="10" t="s">
        <v>29</v>
      </c>
      <c r="F61" s="4"/>
      <c r="G61" s="4">
        <f>IF(F61="", IFERROR(VLOOKUP(E61, '1. Roster &amp; Roles'!A:C, 3, FALSE), "Unassigned"), F61)</f>
        <v>0</v>
      </c>
      <c r="H61" s="4" t="s">
        <v>127</v>
      </c>
    </row>
    <row r="62" spans="1:8" ht="22" customHeight="1">
      <c r="A62" s="3" t="s">
        <v>177</v>
      </c>
      <c r="B62" s="3" t="s">
        <v>207</v>
      </c>
      <c r="C62" s="3" t="s">
        <v>208</v>
      </c>
      <c r="D62" s="3"/>
      <c r="E62" s="10" t="s">
        <v>29</v>
      </c>
      <c r="F62" s="3"/>
      <c r="G62" s="3">
        <f>IF(F62="", IFERROR(VLOOKUP(E62, '1. Roster &amp; Roles'!A:C, 3, FALSE), "Unassigned"), F62)</f>
        <v>0</v>
      </c>
      <c r="H62" s="3" t="s">
        <v>127</v>
      </c>
    </row>
    <row r="63" spans="1:8" ht="22" customHeight="1">
      <c r="A63" s="4" t="s">
        <v>177</v>
      </c>
      <c r="B63" s="4" t="s">
        <v>209</v>
      </c>
      <c r="C63" s="4" t="s">
        <v>210</v>
      </c>
      <c r="D63" s="4" t="s">
        <v>86</v>
      </c>
      <c r="E63" s="10" t="s">
        <v>29</v>
      </c>
      <c r="F63" s="4"/>
      <c r="G63" s="4">
        <f>IF(F63="", IFERROR(VLOOKUP(E63, '1. Roster &amp; Roles'!A:C, 3, FALSE), "Unassigned"), F63)</f>
        <v>0</v>
      </c>
      <c r="H63" s="4" t="s">
        <v>127</v>
      </c>
    </row>
    <row r="64" spans="1:8" ht="22" customHeight="1">
      <c r="A64" s="3" t="s">
        <v>211</v>
      </c>
      <c r="B64" s="3" t="s">
        <v>212</v>
      </c>
      <c r="C64" s="3" t="s">
        <v>213</v>
      </c>
      <c r="D64" s="3"/>
      <c r="E64" s="10" t="s">
        <v>22</v>
      </c>
      <c r="F64" s="3"/>
      <c r="G64" s="3">
        <f>IF(F64="", IFERROR(VLOOKUP(E64, '1. Roster &amp; Roles'!A:C, 3, FALSE), "Unassigned"), F64)</f>
        <v>0</v>
      </c>
      <c r="H64" s="3" t="s">
        <v>127</v>
      </c>
    </row>
    <row r="65" spans="1:8" ht="22" customHeight="1">
      <c r="A65" s="4" t="s">
        <v>211</v>
      </c>
      <c r="B65" s="4" t="s">
        <v>214</v>
      </c>
      <c r="C65" s="4" t="s">
        <v>213</v>
      </c>
      <c r="D65" s="4"/>
      <c r="E65" s="10" t="s">
        <v>22</v>
      </c>
      <c r="F65" s="4"/>
      <c r="G65" s="4">
        <f>IF(F65="", IFERROR(VLOOKUP(E65, '1. Roster &amp; Roles'!A:C, 3, FALSE), "Unassigned"), F65)</f>
        <v>0</v>
      </c>
      <c r="H65" s="4" t="s">
        <v>127</v>
      </c>
    </row>
    <row r="66" spans="1:8" ht="22" customHeight="1">
      <c r="A66" s="3" t="s">
        <v>211</v>
      </c>
      <c r="B66" s="3" t="s">
        <v>215</v>
      </c>
      <c r="C66" s="3" t="s">
        <v>216</v>
      </c>
      <c r="D66" s="3"/>
      <c r="E66" s="10" t="s">
        <v>22</v>
      </c>
      <c r="F66" s="3"/>
      <c r="G66" s="3">
        <f>IF(F66="", IFERROR(VLOOKUP(E66, '1. Roster &amp; Roles'!A:C, 3, FALSE), "Unassigned"), F66)</f>
        <v>0</v>
      </c>
      <c r="H66" s="3" t="s">
        <v>127</v>
      </c>
    </row>
    <row r="67" spans="1:8" ht="22" customHeight="1">
      <c r="A67" s="4" t="s">
        <v>211</v>
      </c>
      <c r="B67" s="4" t="s">
        <v>217</v>
      </c>
      <c r="C67" s="4" t="s">
        <v>218</v>
      </c>
      <c r="D67" s="4"/>
      <c r="E67" s="10" t="s">
        <v>22</v>
      </c>
      <c r="F67" s="4"/>
      <c r="G67" s="4">
        <f>IF(F67="", IFERROR(VLOOKUP(E67, '1. Roster &amp; Roles'!A:C, 3, FALSE), "Unassigned"), F67)</f>
        <v>0</v>
      </c>
      <c r="H67" s="4" t="s">
        <v>127</v>
      </c>
    </row>
    <row r="68" spans="1:8" ht="22" customHeight="1">
      <c r="A68" s="3" t="s">
        <v>211</v>
      </c>
      <c r="B68" s="3" t="s">
        <v>219</v>
      </c>
      <c r="C68" s="3" t="s">
        <v>213</v>
      </c>
      <c r="D68" s="3"/>
      <c r="E68" s="10" t="s">
        <v>22</v>
      </c>
      <c r="F68" s="3"/>
      <c r="G68" s="3">
        <f>IF(F68="", IFERROR(VLOOKUP(E68, '1. Roster &amp; Roles'!A:C, 3, FALSE), "Unassigned"), F68)</f>
        <v>0</v>
      </c>
      <c r="H68" s="3" t="s">
        <v>127</v>
      </c>
    </row>
    <row r="69" spans="1:8" ht="22" customHeight="1">
      <c r="A69" s="4" t="s">
        <v>211</v>
      </c>
      <c r="B69" s="4" t="s">
        <v>220</v>
      </c>
      <c r="C69" s="4" t="s">
        <v>213</v>
      </c>
      <c r="D69" s="4"/>
      <c r="E69" s="10" t="s">
        <v>22</v>
      </c>
      <c r="F69" s="4"/>
      <c r="G69" s="4">
        <f>IF(F69="", IFERROR(VLOOKUP(E69, '1. Roster &amp; Roles'!A:C, 3, FALSE), "Unassigned"), F69)</f>
        <v>0</v>
      </c>
      <c r="H69" s="4" t="s">
        <v>127</v>
      </c>
    </row>
    <row r="70" spans="1:8" ht="22" customHeight="1">
      <c r="A70" s="3" t="s">
        <v>211</v>
      </c>
      <c r="B70" s="3" t="s">
        <v>221</v>
      </c>
      <c r="C70" s="3" t="s">
        <v>213</v>
      </c>
      <c r="D70" s="3"/>
      <c r="E70" s="10" t="s">
        <v>22</v>
      </c>
      <c r="F70" s="3"/>
      <c r="G70" s="3">
        <f>IF(F70="", IFERROR(VLOOKUP(E70, '1. Roster &amp; Roles'!A:C, 3, FALSE), "Unassigned"), F70)</f>
        <v>0</v>
      </c>
      <c r="H70" s="3" t="s">
        <v>127</v>
      </c>
    </row>
    <row r="71" spans="1:8" ht="22" customHeight="1">
      <c r="A71" s="4" t="s">
        <v>211</v>
      </c>
      <c r="B71" s="4" t="s">
        <v>222</v>
      </c>
      <c r="C71" s="4" t="s">
        <v>213</v>
      </c>
      <c r="D71" s="4"/>
      <c r="E71" s="10" t="s">
        <v>22</v>
      </c>
      <c r="F71" s="4"/>
      <c r="G71" s="4">
        <f>IF(F71="", IFERROR(VLOOKUP(E71, '1. Roster &amp; Roles'!A:C, 3, FALSE), "Unassigned"), F71)</f>
        <v>0</v>
      </c>
      <c r="H71" s="4" t="s">
        <v>127</v>
      </c>
    </row>
    <row r="72" spans="1:8" ht="22" customHeight="1">
      <c r="A72" s="3" t="s">
        <v>211</v>
      </c>
      <c r="B72" s="3" t="s">
        <v>223</v>
      </c>
      <c r="C72" s="3" t="s">
        <v>213</v>
      </c>
      <c r="D72" s="3"/>
      <c r="E72" s="10" t="s">
        <v>22</v>
      </c>
      <c r="F72" s="3"/>
      <c r="G72" s="3">
        <f>IF(F72="", IFERROR(VLOOKUP(E72, '1. Roster &amp; Roles'!A:C, 3, FALSE), "Unassigned"), F72)</f>
        <v>0</v>
      </c>
      <c r="H72" s="3" t="s">
        <v>127</v>
      </c>
    </row>
  </sheetData>
  <dataValidations count="134">
    <dataValidation type="list" allowBlank="1" showInputMessage="1" sqref="D6">
      <formula1>'2. Dynamic Timetable'!$G$8:$G$40</formula1>
    </dataValidation>
    <dataValidation type="list" allowBlank="1" showInputMessage="1" showErrorMessage="1" sqref="H6">
      <formula1>"To Buy,Pending,Packed,Done"</formula1>
    </dataValidation>
    <dataValidation type="list" allowBlank="1" showInputMessage="1" sqref="D7">
      <formula1>'2. Dynamic Timetable'!$G$8:$G$40</formula1>
    </dataValidation>
    <dataValidation type="list" allowBlank="1" showInputMessage="1" showErrorMessage="1" sqref="H7">
      <formula1>"To Buy,Pending,Packed,Done"</formula1>
    </dataValidation>
    <dataValidation type="list" allowBlank="1" showInputMessage="1" sqref="D8">
      <formula1>'2. Dynamic Timetable'!$G$8:$G$40</formula1>
    </dataValidation>
    <dataValidation type="list" allowBlank="1" showInputMessage="1" showErrorMessage="1" sqref="H8">
      <formula1>"To Buy,Pending,Packed,Done"</formula1>
    </dataValidation>
    <dataValidation type="list" allowBlank="1" showInputMessage="1" sqref="D9">
      <formula1>'2. Dynamic Timetable'!$G$8:$G$40</formula1>
    </dataValidation>
    <dataValidation type="list" allowBlank="1" showInputMessage="1" showErrorMessage="1" sqref="H9">
      <formula1>"To Buy,Pending,Packed,Done"</formula1>
    </dataValidation>
    <dataValidation type="list" allowBlank="1" showInputMessage="1" sqref="D10">
      <formula1>'2. Dynamic Timetable'!$G$8:$G$40</formula1>
    </dataValidation>
    <dataValidation type="list" allowBlank="1" showInputMessage="1" showErrorMessage="1" sqref="H10">
      <formula1>"To Buy,Pending,Packed,Done"</formula1>
    </dataValidation>
    <dataValidation type="list" allowBlank="1" showInputMessage="1" sqref="D11">
      <formula1>'2. Dynamic Timetable'!$G$8:$G$40</formula1>
    </dataValidation>
    <dataValidation type="list" allowBlank="1" showInputMessage="1" showErrorMessage="1" sqref="H11">
      <formula1>"To Buy,Pending,Packed,Done"</formula1>
    </dataValidation>
    <dataValidation type="list" allowBlank="1" showInputMessage="1" sqref="D12">
      <formula1>'2. Dynamic Timetable'!$G$8:$G$40</formula1>
    </dataValidation>
    <dataValidation type="list" allowBlank="1" showInputMessage="1" showErrorMessage="1" sqref="H12">
      <formula1>"To Buy,Pending,Packed,Done"</formula1>
    </dataValidation>
    <dataValidation type="list" allowBlank="1" showInputMessage="1" sqref="D13">
      <formula1>'2. Dynamic Timetable'!$G$8:$G$40</formula1>
    </dataValidation>
    <dataValidation type="list" allowBlank="1" showInputMessage="1" showErrorMessage="1" sqref="H13">
      <formula1>"To Buy,Pending,Packed,Done"</formula1>
    </dataValidation>
    <dataValidation type="list" allowBlank="1" showInputMessage="1" sqref="D14">
      <formula1>'2. Dynamic Timetable'!$G$8:$G$40</formula1>
    </dataValidation>
    <dataValidation type="list" allowBlank="1" showInputMessage="1" showErrorMessage="1" sqref="H14">
      <formula1>"To Buy,Pending,Packed,Done"</formula1>
    </dataValidation>
    <dataValidation type="list" allowBlank="1" showInputMessage="1" sqref="D15">
      <formula1>'2. Dynamic Timetable'!$G$8:$G$40</formula1>
    </dataValidation>
    <dataValidation type="list" allowBlank="1" showInputMessage="1" showErrorMessage="1" sqref="H15">
      <formula1>"To Buy,Pending,Packed,Done"</formula1>
    </dataValidation>
    <dataValidation type="list" allowBlank="1" showInputMessage="1" sqref="D16">
      <formula1>'2. Dynamic Timetable'!$G$8:$G$40</formula1>
    </dataValidation>
    <dataValidation type="list" allowBlank="1" showInputMessage="1" showErrorMessage="1" sqref="H16">
      <formula1>"To Buy,Pending,Packed,Done"</formula1>
    </dataValidation>
    <dataValidation type="list" allowBlank="1" showInputMessage="1" sqref="D17">
      <formula1>'2. Dynamic Timetable'!$G$8:$G$40</formula1>
    </dataValidation>
    <dataValidation type="list" allowBlank="1" showInputMessage="1" showErrorMessage="1" sqref="H17">
      <formula1>"To Buy,Pending,Packed,Done"</formula1>
    </dataValidation>
    <dataValidation type="list" allowBlank="1" showInputMessage="1" sqref="D18">
      <formula1>'2. Dynamic Timetable'!$G$8:$G$40</formula1>
    </dataValidation>
    <dataValidation type="list" allowBlank="1" showInputMessage="1" showErrorMessage="1" sqref="H18">
      <formula1>"To Buy,Pending,Packed,Done"</formula1>
    </dataValidation>
    <dataValidation type="list" allowBlank="1" showInputMessage="1" sqref="D19">
      <formula1>'2. Dynamic Timetable'!$G$8:$G$40</formula1>
    </dataValidation>
    <dataValidation type="list" allowBlank="1" showInputMessage="1" showErrorMessage="1" sqref="H19">
      <formula1>"To Buy,Pending,Packed,Done"</formula1>
    </dataValidation>
    <dataValidation type="list" allowBlank="1" showInputMessage="1" sqref="D20">
      <formula1>'2. Dynamic Timetable'!$G$8:$G$40</formula1>
    </dataValidation>
    <dataValidation type="list" allowBlank="1" showInputMessage="1" showErrorMessage="1" sqref="H20">
      <formula1>"To Buy,Pending,Packed,Done"</formula1>
    </dataValidation>
    <dataValidation type="list" allowBlank="1" showInputMessage="1" sqref="D21">
      <formula1>'2. Dynamic Timetable'!$G$8:$G$40</formula1>
    </dataValidation>
    <dataValidation type="list" allowBlank="1" showInputMessage="1" showErrorMessage="1" sqref="H21">
      <formula1>"To Buy,Pending,Packed,Done"</formula1>
    </dataValidation>
    <dataValidation type="list" allowBlank="1" showInputMessage="1" sqref="D22">
      <formula1>'2. Dynamic Timetable'!$G$8:$G$40</formula1>
    </dataValidation>
    <dataValidation type="list" allowBlank="1" showInputMessage="1" showErrorMessage="1" sqref="H22">
      <formula1>"To Buy,Pending,Packed,Done"</formula1>
    </dataValidation>
    <dataValidation type="list" allowBlank="1" showInputMessage="1" sqref="D23">
      <formula1>'2. Dynamic Timetable'!$G$8:$G$40</formula1>
    </dataValidation>
    <dataValidation type="list" allowBlank="1" showInputMessage="1" showErrorMessage="1" sqref="H23">
      <formula1>"To Buy,Pending,Packed,Done"</formula1>
    </dataValidation>
    <dataValidation type="list" allowBlank="1" showInputMessage="1" sqref="D24">
      <formula1>'2. Dynamic Timetable'!$G$8:$G$40</formula1>
    </dataValidation>
    <dataValidation type="list" allowBlank="1" showInputMessage="1" showErrorMessage="1" sqref="H24">
      <formula1>"To Buy,Pending,Packed,Done"</formula1>
    </dataValidation>
    <dataValidation type="list" allowBlank="1" showInputMessage="1" sqref="D25">
      <formula1>'2. Dynamic Timetable'!$G$8:$G$40</formula1>
    </dataValidation>
    <dataValidation type="list" allowBlank="1" showInputMessage="1" showErrorMessage="1" sqref="H25">
      <formula1>"To Buy,Pending,Packed,Done"</formula1>
    </dataValidation>
    <dataValidation type="list" allowBlank="1" showInputMessage="1" sqref="D26">
      <formula1>'2. Dynamic Timetable'!$G$8:$G$40</formula1>
    </dataValidation>
    <dataValidation type="list" allowBlank="1" showInputMessage="1" showErrorMessage="1" sqref="H26">
      <formula1>"To Buy,Pending,Packed,Done"</formula1>
    </dataValidation>
    <dataValidation type="list" allowBlank="1" showInputMessage="1" sqref="D27">
      <formula1>'2. Dynamic Timetable'!$G$8:$G$40</formula1>
    </dataValidation>
    <dataValidation type="list" allowBlank="1" showInputMessage="1" showErrorMessage="1" sqref="H27">
      <formula1>"To Buy,Pending,Packed,Done"</formula1>
    </dataValidation>
    <dataValidation type="list" allowBlank="1" showInputMessage="1" sqref="D28">
      <formula1>'2. Dynamic Timetable'!$G$8:$G$40</formula1>
    </dataValidation>
    <dataValidation type="list" allowBlank="1" showInputMessage="1" showErrorMessage="1" sqref="H28">
      <formula1>"To Buy,Pending,Packed,Done"</formula1>
    </dataValidation>
    <dataValidation type="list" allowBlank="1" showInputMessage="1" sqref="D29">
      <formula1>'2. Dynamic Timetable'!$G$8:$G$40</formula1>
    </dataValidation>
    <dataValidation type="list" allowBlank="1" showInputMessage="1" showErrorMessage="1" sqref="H29">
      <formula1>"To Buy,Pending,Packed,Done"</formula1>
    </dataValidation>
    <dataValidation type="list" allowBlank="1" showInputMessage="1" sqref="D30">
      <formula1>'2. Dynamic Timetable'!$G$8:$G$40</formula1>
    </dataValidation>
    <dataValidation type="list" allowBlank="1" showInputMessage="1" showErrorMessage="1" sqref="H30">
      <formula1>"To Buy,Pending,Packed,Done"</formula1>
    </dataValidation>
    <dataValidation type="list" allowBlank="1" showInputMessage="1" sqref="D31">
      <formula1>'2. Dynamic Timetable'!$G$8:$G$40</formula1>
    </dataValidation>
    <dataValidation type="list" allowBlank="1" showInputMessage="1" showErrorMessage="1" sqref="H31">
      <formula1>"To Buy,Pending,Packed,Done"</formula1>
    </dataValidation>
    <dataValidation type="list" allowBlank="1" showInputMessage="1" sqref="D32">
      <formula1>'2. Dynamic Timetable'!$G$8:$G$40</formula1>
    </dataValidation>
    <dataValidation type="list" allowBlank="1" showInputMessage="1" showErrorMessage="1" sqref="H32">
      <formula1>"To Buy,Pending,Packed,Done"</formula1>
    </dataValidation>
    <dataValidation type="list" allowBlank="1" showInputMessage="1" sqref="D33">
      <formula1>'2. Dynamic Timetable'!$G$8:$G$40</formula1>
    </dataValidation>
    <dataValidation type="list" allowBlank="1" showInputMessage="1" showErrorMessage="1" sqref="H33">
      <formula1>"To Buy,Pending,Packed,Done"</formula1>
    </dataValidation>
    <dataValidation type="list" allowBlank="1" showInputMessage="1" sqref="D34">
      <formula1>'2. Dynamic Timetable'!$G$8:$G$40</formula1>
    </dataValidation>
    <dataValidation type="list" allowBlank="1" showInputMessage="1" showErrorMessage="1" sqref="H34">
      <formula1>"To Buy,Pending,Packed,Done"</formula1>
    </dataValidation>
    <dataValidation type="list" allowBlank="1" showInputMessage="1" sqref="D35">
      <formula1>'2. Dynamic Timetable'!$G$8:$G$40</formula1>
    </dataValidation>
    <dataValidation type="list" allowBlank="1" showInputMessage="1" showErrorMessage="1" sqref="H35">
      <formula1>"To Buy,Pending,Packed,Done"</formula1>
    </dataValidation>
    <dataValidation type="list" allowBlank="1" showInputMessage="1" sqref="D36">
      <formula1>'2. Dynamic Timetable'!$G$8:$G$40</formula1>
    </dataValidation>
    <dataValidation type="list" allowBlank="1" showInputMessage="1" showErrorMessage="1" sqref="H36">
      <formula1>"To Buy,Pending,Packed,Done"</formula1>
    </dataValidation>
    <dataValidation type="list" allowBlank="1" showInputMessage="1" sqref="D37">
      <formula1>'2. Dynamic Timetable'!$G$8:$G$40</formula1>
    </dataValidation>
    <dataValidation type="list" allowBlank="1" showInputMessage="1" showErrorMessage="1" sqref="H37">
      <formula1>"To Buy,Pending,Packed,Done"</formula1>
    </dataValidation>
    <dataValidation type="list" allowBlank="1" showInputMessage="1" sqref="D38">
      <formula1>'2. Dynamic Timetable'!$G$8:$G$40</formula1>
    </dataValidation>
    <dataValidation type="list" allowBlank="1" showInputMessage="1" showErrorMessage="1" sqref="H38">
      <formula1>"To Buy,Pending,Packed,Done"</formula1>
    </dataValidation>
    <dataValidation type="list" allowBlank="1" showInputMessage="1" sqref="D39">
      <formula1>'2. Dynamic Timetable'!$G$8:$G$40</formula1>
    </dataValidation>
    <dataValidation type="list" allowBlank="1" showInputMessage="1" showErrorMessage="1" sqref="H39">
      <formula1>"To Buy,Pending,Packed,Done"</formula1>
    </dataValidation>
    <dataValidation type="list" allowBlank="1" showInputMessage="1" sqref="D40">
      <formula1>'2. Dynamic Timetable'!$G$8:$G$40</formula1>
    </dataValidation>
    <dataValidation type="list" allowBlank="1" showInputMessage="1" showErrorMessage="1" sqref="H40">
      <formula1>"To Buy,Pending,Packed,Done"</formula1>
    </dataValidation>
    <dataValidation type="list" allowBlank="1" showInputMessage="1" sqref="D41">
      <formula1>'2. Dynamic Timetable'!$G$8:$G$40</formula1>
    </dataValidation>
    <dataValidation type="list" allowBlank="1" showInputMessage="1" showErrorMessage="1" sqref="H41">
      <formula1>"To Buy,Pending,Packed,Done"</formula1>
    </dataValidation>
    <dataValidation type="list" allowBlank="1" showInputMessage="1" sqref="D42">
      <formula1>'2. Dynamic Timetable'!$G$8:$G$40</formula1>
    </dataValidation>
    <dataValidation type="list" allowBlank="1" showInputMessage="1" showErrorMessage="1" sqref="H42">
      <formula1>"To Buy,Pending,Packed,Done"</formula1>
    </dataValidation>
    <dataValidation type="list" allowBlank="1" showInputMessage="1" sqref="D43">
      <formula1>'2. Dynamic Timetable'!$G$8:$G$40</formula1>
    </dataValidation>
    <dataValidation type="list" allowBlank="1" showInputMessage="1" showErrorMessage="1" sqref="H43">
      <formula1>"To Buy,Pending,Packed,Done"</formula1>
    </dataValidation>
    <dataValidation type="list" allowBlank="1" showInputMessage="1" sqref="D44">
      <formula1>'2. Dynamic Timetable'!$G$8:$G$40</formula1>
    </dataValidation>
    <dataValidation type="list" allowBlank="1" showInputMessage="1" showErrorMessage="1" sqref="H44">
      <formula1>"To Buy,Pending,Packed,Done"</formula1>
    </dataValidation>
    <dataValidation type="list" allowBlank="1" showInputMessage="1" sqref="D45">
      <formula1>'2. Dynamic Timetable'!$G$8:$G$40</formula1>
    </dataValidation>
    <dataValidation type="list" allowBlank="1" showInputMessage="1" showErrorMessage="1" sqref="H45">
      <formula1>"To Buy,Pending,Packed,Done"</formula1>
    </dataValidation>
    <dataValidation type="list" allowBlank="1" showInputMessage="1" sqref="D46">
      <formula1>'2. Dynamic Timetable'!$G$8:$G$40</formula1>
    </dataValidation>
    <dataValidation type="list" allowBlank="1" showInputMessage="1" showErrorMessage="1" sqref="H46">
      <formula1>"To Buy,Pending,Packed,Done"</formula1>
    </dataValidation>
    <dataValidation type="list" allowBlank="1" showInputMessage="1" sqref="D47">
      <formula1>'2. Dynamic Timetable'!$G$8:$G$40</formula1>
    </dataValidation>
    <dataValidation type="list" allowBlank="1" showInputMessage="1" showErrorMessage="1" sqref="H47">
      <formula1>"To Buy,Pending,Packed,Done"</formula1>
    </dataValidation>
    <dataValidation type="list" allowBlank="1" showInputMessage="1" sqref="D48">
      <formula1>'2. Dynamic Timetable'!$G$8:$G$40</formula1>
    </dataValidation>
    <dataValidation type="list" allowBlank="1" showInputMessage="1" showErrorMessage="1" sqref="H48">
      <formula1>"To Buy,Pending,Packed,Done"</formula1>
    </dataValidation>
    <dataValidation type="list" allowBlank="1" showInputMessage="1" sqref="D49">
      <formula1>'2. Dynamic Timetable'!$G$8:$G$40</formula1>
    </dataValidation>
    <dataValidation type="list" allowBlank="1" showInputMessage="1" showErrorMessage="1" sqref="H49">
      <formula1>"To Buy,Pending,Packed,Done"</formula1>
    </dataValidation>
    <dataValidation type="list" allowBlank="1" showInputMessage="1" sqref="D50">
      <formula1>'2. Dynamic Timetable'!$G$8:$G$40</formula1>
    </dataValidation>
    <dataValidation type="list" allowBlank="1" showInputMessage="1" showErrorMessage="1" sqref="H50">
      <formula1>"To Buy,Pending,Packed,Done"</formula1>
    </dataValidation>
    <dataValidation type="list" allowBlank="1" showInputMessage="1" sqref="D51">
      <formula1>'2. Dynamic Timetable'!$G$8:$G$40</formula1>
    </dataValidation>
    <dataValidation type="list" allowBlank="1" showInputMessage="1" showErrorMessage="1" sqref="H51">
      <formula1>"To Buy,Pending,Packed,Done"</formula1>
    </dataValidation>
    <dataValidation type="list" allowBlank="1" showInputMessage="1" sqref="D52">
      <formula1>'2. Dynamic Timetable'!$G$8:$G$40</formula1>
    </dataValidation>
    <dataValidation type="list" allowBlank="1" showInputMessage="1" showErrorMessage="1" sqref="H52">
      <formula1>"To Buy,Pending,Packed,Done"</formula1>
    </dataValidation>
    <dataValidation type="list" allowBlank="1" showInputMessage="1" sqref="D53">
      <formula1>'2. Dynamic Timetable'!$G$8:$G$40</formula1>
    </dataValidation>
    <dataValidation type="list" allowBlank="1" showInputMessage="1" showErrorMessage="1" sqref="H53">
      <formula1>"To Buy,Pending,Packed,Done"</formula1>
    </dataValidation>
    <dataValidation type="list" allowBlank="1" showInputMessage="1" sqref="D54">
      <formula1>'2. Dynamic Timetable'!$G$8:$G$40</formula1>
    </dataValidation>
    <dataValidation type="list" allowBlank="1" showInputMessage="1" showErrorMessage="1" sqref="H54">
      <formula1>"To Buy,Pending,Packed,Done"</formula1>
    </dataValidation>
    <dataValidation type="list" allowBlank="1" showInputMessage="1" sqref="D55">
      <formula1>'2. Dynamic Timetable'!$G$8:$G$40</formula1>
    </dataValidation>
    <dataValidation type="list" allowBlank="1" showInputMessage="1" showErrorMessage="1" sqref="H55">
      <formula1>"To Buy,Pending,Packed,Done"</formula1>
    </dataValidation>
    <dataValidation type="list" allowBlank="1" showInputMessage="1" sqref="D56">
      <formula1>'2. Dynamic Timetable'!$G$8:$G$40</formula1>
    </dataValidation>
    <dataValidation type="list" allowBlank="1" showInputMessage="1" showErrorMessage="1" sqref="H56">
      <formula1>"To Buy,Pending,Packed,Done"</formula1>
    </dataValidation>
    <dataValidation type="list" allowBlank="1" showInputMessage="1" sqref="D57">
      <formula1>'2. Dynamic Timetable'!$G$8:$G$40</formula1>
    </dataValidation>
    <dataValidation type="list" allowBlank="1" showInputMessage="1" showErrorMessage="1" sqref="H57">
      <formula1>"To Buy,Pending,Packed,Done"</formula1>
    </dataValidation>
    <dataValidation type="list" allowBlank="1" showInputMessage="1" sqref="D58">
      <formula1>'2. Dynamic Timetable'!$G$8:$G$40</formula1>
    </dataValidation>
    <dataValidation type="list" allowBlank="1" showInputMessage="1" showErrorMessage="1" sqref="H58">
      <formula1>"To Buy,Pending,Packed,Done"</formula1>
    </dataValidation>
    <dataValidation type="list" allowBlank="1" showInputMessage="1" sqref="D59">
      <formula1>'2. Dynamic Timetable'!$G$8:$G$40</formula1>
    </dataValidation>
    <dataValidation type="list" allowBlank="1" showInputMessage="1" showErrorMessage="1" sqref="H59">
      <formula1>"To Buy,Pending,Packed,Done"</formula1>
    </dataValidation>
    <dataValidation type="list" allowBlank="1" showInputMessage="1" sqref="D60">
      <formula1>'2. Dynamic Timetable'!$G$8:$G$40</formula1>
    </dataValidation>
    <dataValidation type="list" allowBlank="1" showInputMessage="1" showErrorMessage="1" sqref="H60">
      <formula1>"To Buy,Pending,Packed,Done"</formula1>
    </dataValidation>
    <dataValidation type="list" allowBlank="1" showInputMessage="1" sqref="D61">
      <formula1>'2. Dynamic Timetable'!$G$8:$G$40</formula1>
    </dataValidation>
    <dataValidation type="list" allowBlank="1" showInputMessage="1" showErrorMessage="1" sqref="H61">
      <formula1>"To Buy,Pending,Packed,Done"</formula1>
    </dataValidation>
    <dataValidation type="list" allowBlank="1" showInputMessage="1" sqref="D62">
      <formula1>'2. Dynamic Timetable'!$G$8:$G$40</formula1>
    </dataValidation>
    <dataValidation type="list" allowBlank="1" showInputMessage="1" showErrorMessage="1" sqref="H62">
      <formula1>"To Buy,Pending,Packed,Done"</formula1>
    </dataValidation>
    <dataValidation type="list" allowBlank="1" showInputMessage="1" sqref="D63">
      <formula1>'2. Dynamic Timetable'!$G$8:$G$40</formula1>
    </dataValidation>
    <dataValidation type="list" allowBlank="1" showInputMessage="1" showErrorMessage="1" sqref="H63">
      <formula1>"To Buy,Pending,Packed,Done"</formula1>
    </dataValidation>
    <dataValidation type="list" allowBlank="1" showInputMessage="1" sqref="D64">
      <formula1>'2. Dynamic Timetable'!$G$8:$G$40</formula1>
    </dataValidation>
    <dataValidation type="list" allowBlank="1" showInputMessage="1" showErrorMessage="1" sqref="H64">
      <formula1>"To Buy,Pending,Packed,Done"</formula1>
    </dataValidation>
    <dataValidation type="list" allowBlank="1" showInputMessage="1" sqref="D65">
      <formula1>'2. Dynamic Timetable'!$G$8:$G$40</formula1>
    </dataValidation>
    <dataValidation type="list" allowBlank="1" showInputMessage="1" showErrorMessage="1" sqref="H65">
      <formula1>"To Buy,Pending,Packed,Done"</formula1>
    </dataValidation>
    <dataValidation type="list" allowBlank="1" showInputMessage="1" sqref="D66">
      <formula1>'2. Dynamic Timetable'!$G$8:$G$40</formula1>
    </dataValidation>
    <dataValidation type="list" allowBlank="1" showInputMessage="1" showErrorMessage="1" sqref="H66">
      <formula1>"To Buy,Pending,Packed,Done"</formula1>
    </dataValidation>
    <dataValidation type="list" allowBlank="1" showInputMessage="1" sqref="D67">
      <formula1>'2. Dynamic Timetable'!$G$8:$G$40</formula1>
    </dataValidation>
    <dataValidation type="list" allowBlank="1" showInputMessage="1" showErrorMessage="1" sqref="H67">
      <formula1>"To Buy,Pending,Packed,Done"</formula1>
    </dataValidation>
    <dataValidation type="list" allowBlank="1" showInputMessage="1" sqref="D68">
      <formula1>'2. Dynamic Timetable'!$G$8:$G$40</formula1>
    </dataValidation>
    <dataValidation type="list" allowBlank="1" showInputMessage="1" showErrorMessage="1" sqref="H68">
      <formula1>"To Buy,Pending,Packed,Done"</formula1>
    </dataValidation>
    <dataValidation type="list" allowBlank="1" showInputMessage="1" sqref="D69">
      <formula1>'2. Dynamic Timetable'!$G$8:$G$40</formula1>
    </dataValidation>
    <dataValidation type="list" allowBlank="1" showInputMessage="1" showErrorMessage="1" sqref="H69">
      <formula1>"To Buy,Pending,Packed,Done"</formula1>
    </dataValidation>
    <dataValidation type="list" allowBlank="1" showInputMessage="1" sqref="D70">
      <formula1>'2. Dynamic Timetable'!$G$8:$G$40</formula1>
    </dataValidation>
    <dataValidation type="list" allowBlank="1" showInputMessage="1" showErrorMessage="1" sqref="H70">
      <formula1>"To Buy,Pending,Packed,Done"</formula1>
    </dataValidation>
    <dataValidation type="list" allowBlank="1" showInputMessage="1" sqref="D71">
      <formula1>'2. Dynamic Timetable'!$G$8:$G$40</formula1>
    </dataValidation>
    <dataValidation type="list" allowBlank="1" showInputMessage="1" showErrorMessage="1" sqref="H71">
      <formula1>"To Buy,Pending,Packed,Done"</formula1>
    </dataValidation>
    <dataValidation type="list" allowBlank="1" showInputMessage="1" sqref="D72">
      <formula1>'2. Dynamic Timetable'!$G$8:$G$40</formula1>
    </dataValidation>
    <dataValidation type="list" allowBlank="1" showInputMessage="1" showErrorMessage="1" sqref="H72">
      <formula1>"To Buy,Pending,Packed,Done"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/>
  </sheetViews>
  <sheetFormatPr defaultRowHeight="15"/>
  <cols>
    <col min="1" max="1" width="25.7109375" customWidth="1"/>
    <col min="2" max="3" width="60.7109375" customWidth="1"/>
  </cols>
  <sheetData>
    <row r="1" spans="1:3">
      <c r="A1" s="1" t="s">
        <v>224</v>
      </c>
    </row>
    <row r="2" spans="1:3">
      <c r="A2" s="5" t="s">
        <v>225</v>
      </c>
    </row>
    <row r="5" spans="1:3">
      <c r="A5" s="2" t="s">
        <v>123</v>
      </c>
      <c r="B5" s="2" t="s">
        <v>226</v>
      </c>
      <c r="C5" s="2" t="s">
        <v>227</v>
      </c>
    </row>
    <row r="6" spans="1:3" ht="60" customHeight="1">
      <c r="A6" s="3" t="s">
        <v>61</v>
      </c>
      <c r="B6" s="3" t="s">
        <v>228</v>
      </c>
      <c r="C6" s="3" t="s">
        <v>229</v>
      </c>
    </row>
    <row r="7" spans="1:3" ht="60" customHeight="1">
      <c r="A7" s="4" t="s">
        <v>71</v>
      </c>
      <c r="B7" s="4" t="s">
        <v>230</v>
      </c>
      <c r="C7" s="4" t="s">
        <v>231</v>
      </c>
    </row>
    <row r="8" spans="1:3" ht="60" customHeight="1">
      <c r="A8" s="3" t="s">
        <v>84</v>
      </c>
      <c r="B8" s="3" t="s">
        <v>232</v>
      </c>
      <c r="C8" s="3" t="s">
        <v>233</v>
      </c>
    </row>
    <row r="9" spans="1:3" ht="60" customHeight="1">
      <c r="A9" s="4" t="s">
        <v>86</v>
      </c>
      <c r="B9" s="4" t="s">
        <v>234</v>
      </c>
      <c r="C9" s="4" t="s">
        <v>235</v>
      </c>
    </row>
    <row r="10" spans="1:3" ht="60" customHeight="1">
      <c r="A10" s="3" t="s">
        <v>98</v>
      </c>
      <c r="B10" s="3" t="s">
        <v>236</v>
      </c>
      <c r="C10" s="3" t="s">
        <v>237</v>
      </c>
    </row>
  </sheetData>
  <dataValidations count="5">
    <dataValidation type="list" allowBlank="1" showInputMessage="1" sqref="A6">
      <formula1>'2. Dynamic Timetable'!$G$8:$G$40</formula1>
    </dataValidation>
    <dataValidation type="list" allowBlank="1" showInputMessage="1" sqref="A7">
      <formula1>'2. Dynamic Timetable'!$G$8:$G$40</formula1>
    </dataValidation>
    <dataValidation type="list" allowBlank="1" showInputMessage="1" sqref="A8">
      <formula1>'2. Dynamic Timetable'!$G$8:$G$40</formula1>
    </dataValidation>
    <dataValidation type="list" allowBlank="1" showInputMessage="1" sqref="A9">
      <formula1>'2. Dynamic Timetable'!$G$8:$G$40</formula1>
    </dataValidation>
    <dataValidation type="list" allowBlank="1" showInputMessage="1" sqref="A10">
      <formula1>'2. Dynamic Timetable'!$G$8:$G$40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Roster &amp; Roles</vt:lpstr>
      <vt:lpstr>2. Dynamic Timetable</vt:lpstr>
      <vt:lpstr>3. Task Checklist</vt:lpstr>
      <vt:lpstr>4. Equipment &amp; Shopping</vt:lpstr>
      <vt:lpstr>5. Activity Playbook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2026-07-21T20:26:25Z</dcterms:created>
  <dcterms:modified xsi:type="dcterms:W3CDTF">2026-07-21T20:26:25Z</dcterms:modified>
</cp:coreProperties>
</file>